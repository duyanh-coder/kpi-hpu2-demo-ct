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PMO\3.PhanTich\ChucNangKPI\HPU2\"/>
    </mc:Choice>
  </mc:AlternateContent>
  <xr:revisionPtr revIDLastSave="0" documentId="13_ncr:1_{41612110-20B0-45B4-BF81-9BD7F1E9FE2D}" xr6:coauthVersionLast="47" xr6:coauthVersionMax="47" xr10:uidLastSave="{00000000-0000-0000-0000-000000000000}"/>
  <bookViews>
    <workbookView xWindow="-120" yWindow="330" windowWidth="29040" windowHeight="15990" activeTab="1" xr2:uid="{00000000-000D-0000-FFFF-FFFF00000000}"/>
  </bookViews>
  <sheets>
    <sheet name="P. Đào tạo" sheetId="2" r:id="rId1"/>
    <sheet name="P.Đao tạo Phân rã" sheetId="4" r:id="rId2"/>
    <sheet name="P. Hành chính" sheetId="3" r:id="rId3"/>
    <sheet name="P. Hành chính Phân rã"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4" l="1"/>
  <c r="J52" i="4" s="1"/>
  <c r="I51" i="4"/>
  <c r="J51" i="4" s="1"/>
  <c r="I50" i="4"/>
  <c r="J50" i="4" s="1"/>
  <c r="I49" i="4"/>
  <c r="J49" i="4" s="1"/>
  <c r="I48" i="4"/>
  <c r="J48" i="4" s="1"/>
  <c r="I47" i="4"/>
  <c r="J47" i="4" s="1"/>
  <c r="I46" i="4"/>
  <c r="J46" i="4" s="1"/>
  <c r="I45" i="4"/>
  <c r="J45" i="4" s="1"/>
  <c r="I44" i="4"/>
  <c r="J44" i="4" s="1"/>
  <c r="I43" i="4"/>
  <c r="J43" i="4" s="1"/>
  <c r="I42" i="4"/>
  <c r="J42" i="4" s="1"/>
  <c r="I41" i="4"/>
  <c r="J41" i="4" s="1"/>
  <c r="I40" i="4"/>
  <c r="J40" i="4" s="1"/>
  <c r="I39" i="4"/>
  <c r="J39" i="4" s="1"/>
  <c r="I38" i="4"/>
  <c r="J38" i="4" s="1"/>
  <c r="I37" i="4"/>
  <c r="J37" i="4" s="1"/>
  <c r="I36" i="4"/>
  <c r="J36" i="4" s="1"/>
  <c r="J35" i="4"/>
  <c r="I35" i="4"/>
  <c r="I34" i="4"/>
  <c r="J34" i="4" s="1"/>
  <c r="I33" i="4"/>
  <c r="J33" i="4" s="1"/>
  <c r="I32" i="4"/>
  <c r="J32" i="4" s="1"/>
  <c r="I31" i="4"/>
  <c r="J31" i="4" s="1"/>
  <c r="I30" i="4"/>
  <c r="J30" i="4" s="1"/>
  <c r="I29" i="4"/>
  <c r="J29" i="4" s="1"/>
  <c r="I28" i="4"/>
  <c r="J28" i="4" s="1"/>
  <c r="I27" i="4"/>
  <c r="J27" i="4" s="1"/>
  <c r="I26" i="4"/>
  <c r="J26" i="4" s="1"/>
  <c r="I25" i="4"/>
  <c r="J25" i="4" s="1"/>
  <c r="I24" i="4"/>
  <c r="J24" i="4" s="1"/>
  <c r="I23" i="4"/>
  <c r="J23" i="4" s="1"/>
  <c r="I22" i="4"/>
  <c r="J22" i="4" s="1"/>
  <c r="I21" i="4"/>
  <c r="J21" i="4" s="1"/>
  <c r="I20" i="4"/>
  <c r="J20" i="4" s="1"/>
  <c r="I19" i="4"/>
  <c r="J19" i="4" s="1"/>
  <c r="I18" i="4"/>
  <c r="J18" i="4" s="1"/>
  <c r="I17" i="4"/>
  <c r="J17" i="4" s="1"/>
  <c r="I16" i="4"/>
  <c r="J16" i="4" s="1"/>
  <c r="I15" i="4"/>
  <c r="J15" i="4" s="1"/>
  <c r="I14" i="4"/>
  <c r="J14" i="4" s="1"/>
  <c r="I13" i="4"/>
  <c r="J13" i="4" s="1"/>
  <c r="I12" i="4"/>
  <c r="J12" i="4" s="1"/>
  <c r="I11" i="4"/>
  <c r="J11" i="4" s="1"/>
  <c r="I10" i="4"/>
  <c r="J10" i="4" s="1"/>
  <c r="I9" i="4"/>
  <c r="J9" i="4" s="1"/>
  <c r="I8" i="4"/>
  <c r="J8" i="4" s="1"/>
  <c r="I7" i="4"/>
  <c r="J7" i="4" s="1"/>
  <c r="I6" i="4"/>
  <c r="J6" i="4" s="1"/>
  <c r="I5" i="4"/>
  <c r="I31" i="5"/>
  <c r="J31" i="5" s="1"/>
  <c r="I30" i="5"/>
  <c r="J30" i="5" s="1"/>
  <c r="I29" i="5"/>
  <c r="J29" i="5" s="1"/>
  <c r="I28" i="5"/>
  <c r="J28" i="5" s="1"/>
  <c r="I27" i="5"/>
  <c r="J27" i="5" s="1"/>
  <c r="I26" i="5"/>
  <c r="J26" i="5" s="1"/>
  <c r="I25" i="5"/>
  <c r="J25" i="5" s="1"/>
  <c r="I24" i="5"/>
  <c r="J24" i="5" s="1"/>
  <c r="I23" i="5"/>
  <c r="J23" i="5" s="1"/>
  <c r="I22" i="5"/>
  <c r="J22" i="5" s="1"/>
  <c r="I21" i="5"/>
  <c r="J21" i="5" s="1"/>
  <c r="I20" i="5"/>
  <c r="J20" i="5" s="1"/>
  <c r="I19" i="5"/>
  <c r="J19" i="5" s="1"/>
  <c r="I18" i="5"/>
  <c r="J18" i="5" s="1"/>
  <c r="I17" i="5"/>
  <c r="J17" i="5" s="1"/>
  <c r="I16" i="5"/>
  <c r="J16" i="5" s="1"/>
  <c r="I15" i="5"/>
  <c r="J15" i="5" s="1"/>
  <c r="I14" i="5"/>
  <c r="J14" i="5" s="1"/>
  <c r="I13" i="5"/>
  <c r="J13" i="5" s="1"/>
  <c r="I12" i="5"/>
  <c r="J12" i="5" s="1"/>
  <c r="I11" i="5"/>
  <c r="J11" i="5" s="1"/>
  <c r="I10" i="5"/>
  <c r="J10" i="5" s="1"/>
  <c r="I9" i="5"/>
  <c r="J9" i="5" s="1"/>
  <c r="I8" i="5"/>
  <c r="J8" i="5" s="1"/>
  <c r="I7" i="5"/>
  <c r="J7" i="5" s="1"/>
  <c r="I6" i="5"/>
  <c r="J6" i="5" s="1"/>
  <c r="I5" i="5"/>
  <c r="I11" i="3"/>
  <c r="J11" i="3" s="1"/>
  <c r="I10" i="3"/>
  <c r="J9" i="3"/>
  <c r="I9" i="3"/>
  <c r="I8" i="3"/>
  <c r="J8" i="3" s="1"/>
  <c r="I7" i="3"/>
  <c r="J7" i="3" s="1"/>
  <c r="I6" i="3"/>
  <c r="J6" i="3" s="1"/>
  <c r="I5" i="3"/>
  <c r="J5" i="3" s="1"/>
  <c r="I16" i="2"/>
  <c r="I15" i="2"/>
  <c r="J15" i="2" s="1"/>
  <c r="I14" i="2"/>
  <c r="J14" i="2" s="1"/>
  <c r="I13" i="2"/>
  <c r="J13" i="2" s="1"/>
  <c r="J12" i="2"/>
  <c r="I12" i="2"/>
  <c r="I11" i="2"/>
  <c r="J11" i="2" s="1"/>
  <c r="I10" i="2"/>
  <c r="J10" i="2" s="1"/>
  <c r="I9" i="2"/>
  <c r="J9" i="2" s="1"/>
  <c r="I8" i="2"/>
  <c r="J8" i="2" s="1"/>
  <c r="I7" i="2"/>
  <c r="J7" i="2" s="1"/>
  <c r="I6" i="2"/>
  <c r="J6" i="2" s="1"/>
  <c r="I5" i="2"/>
  <c r="J5" i="2" s="1"/>
  <c r="I53" i="4" l="1"/>
  <c r="J5" i="4"/>
  <c r="J5" i="5"/>
  <c r="I32" i="5"/>
  <c r="I12" i="3"/>
  <c r="J12" i="3" s="1"/>
  <c r="J10" i="3"/>
  <c r="I17" i="2"/>
  <c r="J17" i="2" s="1"/>
  <c r="J16" i="2"/>
</calcChain>
</file>

<file path=xl/sharedStrings.xml><?xml version="1.0" encoding="utf-8"?>
<sst xmlns="http://schemas.openxmlformats.org/spreadsheetml/2006/main" count="680" uniqueCount="338">
  <si>
    <t>BẢNG ĐÁNH GIÁ KPI THÁNG 8/2026 - PHÒNG ĐÀO TẠO</t>
  </si>
  <si>
    <t>Phục vụ nghiệm thu hợp đồng và liên kết Hệ thống KPI ĐHSPHN2 (Bổ sung Mã &amp; Nội dung KPI)</t>
  </si>
  <si>
    <t>STT</t>
  </si>
  <si>
    <t>Nhiệm vụ Công tác (Tháng 8/2026)</t>
  </si>
  <si>
    <t>Mã KPI</t>
  </si>
  <si>
    <t>Nội dung chỉ số KPI (Bổ sung)</t>
  </si>
  <si>
    <t>ĐVT</t>
  </si>
  <si>
    <t>Chỉ tiêu Kế hoạch (Target)</t>
  </si>
  <si>
    <t>Số liệu Thực tế (Actual)</t>
  </si>
  <si>
    <t>Tỷ lệ Đạt (%)</t>
  </si>
  <si>
    <t>Trạng thái</t>
  </si>
  <si>
    <t>Hồ sơ Minh chứng đính kèm</t>
  </si>
  <si>
    <t>Rà soát chuẩn đầu ra các CTĐT theo hướng bổ sung năng lực số, AI, ĐMST</t>
  </si>
  <si>
    <t>Quản lý chương trình đào tạo</t>
  </si>
  <si>
    <t>ĐMST01</t>
  </si>
  <si>
    <t>Số dự án khởi nghiệp sáng tạo, đổi mới sáng tạo hoặc EdTech được hình thành, tuyển chọn, ươm tạo hoặc hỗ trợ trong năm học</t>
  </si>
  <si>
    <t>%</t>
  </si>
  <si>
    <t>Báo cáo rà soát chuẩn đầu ra &amp; danh mục 15 ngành cần cập nhật đã ký số</t>
  </si>
  <si>
    <t>Rà soát, cập nhật đề cương chi tiết học phần học kỳ I hướng tích hợp công nghệ số</t>
  </si>
  <si>
    <t>ĐT01</t>
  </si>
  <si>
    <t>Tỷ lệ chương trình đào tạo được rà soát, cập nhật theo hướng tích hợp năng lực số, đổi mới sáng tạo, AI và công nghệ giáo dục</t>
  </si>
  <si>
    <t>Danh mục đề cương HP HK1 rà soát kèm báo cáo tổng hợp</t>
  </si>
  <si>
    <t>Xác định danh mục học phần triển khai trên hệ thống LMS học kỳ I</t>
  </si>
  <si>
    <t>Quản lý xếp thời khóa biểu</t>
  </si>
  <si>
    <t>ĐT02</t>
  </si>
  <si>
    <t>Tỷ lệ học phần vận hành trên hệ thống LMS có dữ liệu học tập chuẩn theo quy định</t>
  </si>
  <si>
    <t>Hệ thống LMS ghi nhận 65% học phần có không gian số học tập chuẩn</t>
  </si>
  <si>
    <t>Xét tuyển và tiếp nhận học sinh, sinh viên khóa mới K52 nhập học</t>
  </si>
  <si>
    <t>Tiếp nhận sinh viên nhập học</t>
  </si>
  <si>
    <t>TS02</t>
  </si>
  <si>
    <t>Tỷ lệ thí sinh nhập học thực tế trên tổng số trúng tuyển (giảm tỷ lệ “ảo”)</t>
  </si>
  <si>
    <t>Hệ thống nhập học trực tuyến ghi nhận 83.5% TS trúng tuyển nhập học</t>
  </si>
  <si>
    <t>Xét tuyển nghiên cứu sinh K16 đợt 2</t>
  </si>
  <si>
    <t>Quản lý kết quả học tập</t>
  </si>
  <si>
    <t>TS07</t>
  </si>
  <si>
    <t>Tốc độ tăng trưởng quy mô tuyển sinh sau đại học (thạc sĩ, tiến sĩ)</t>
  </si>
  <si>
    <t>Quyết định phê duyệt danh sách trúng tuyển NCS K16 đợt 2 tăng 6.2%</t>
  </si>
  <si>
    <t>Nghiên cứu sinh K16 đợt 2 nhập học thực tế</t>
  </si>
  <si>
    <t>Hồ sơ nhập học lưu vết đóng lệ phí trực tuyến qua ngân hàng đạt 85%</t>
  </si>
  <si>
    <t>Thông báo tuyển sinh đào tạo trình độ tiến sĩ K16 đợt 3</t>
  </si>
  <si>
    <t>TS01</t>
  </si>
  <si>
    <t>Tỷ lệ hoàn thành chỉ tiêu tuyển sinh được giao</t>
  </si>
  <si>
    <t>Thông báo tuyển sinh số 120/TB-ĐHSPHN2 ban hành đúng hạn pháp quy</t>
  </si>
  <si>
    <t>Xét tốt nghiệp cho SV ĐH hệ chính quy đợt tháng 8</t>
  </si>
  <si>
    <t>Quản lý xét tốt nghiệp</t>
  </si>
  <si>
    <t>ĐT03</t>
  </si>
  <si>
    <t>Tỷ lệ sinh viên tốt nghiệp có việc làm, tự tạo việc làm hoặc tiếp tục học tập trong vòng 12 tháng sau tốt nghiệp</t>
  </si>
  <si>
    <t>Quyết định số 1420/QĐ-ĐHSPHN2 công nhận tốt nghiệp hệ chính quy đợt tháng 8</t>
  </si>
  <si>
    <t>Xét tốt nghiệp cho học viên cao học đợt tháng 8</t>
  </si>
  <si>
    <t>Quyết định công nhận tốt nghiệp cao học đợt tháng 8 ban hành đúng hạn</t>
  </si>
  <si>
    <t>Triển khai kế hoạch công tác kiến tập, thực tập sư phạm (TTSP), thực tập chuyên ngành</t>
  </si>
  <si>
    <t>HT02</t>
  </si>
  <si>
    <t>Số trường phổ thông ký kết/duy trì phối hợp thực chất với các đơn vị đào tạo trong thực hành, thực tập</t>
  </si>
  <si>
    <t>Trường</t>
  </si>
  <si>
    <t>Kế hoạch kiến tập, thực tập số 452/KH-ĐHSPHN2 liên kết với hơn 60 trường phổ thông</t>
  </si>
  <si>
    <t>Xét kết quả học tập học kỳ 2 năm học 2025-2026</t>
  </si>
  <si>
    <t>Bảng kết toán kết quả học tập kỳ 2 năm trước số hóa hoàn toàn</t>
  </si>
  <si>
    <t>Tổ chức thi học kỳ phụ bảo đảm đúng quy trình</t>
  </si>
  <si>
    <t>ĐBCL09</t>
  </si>
  <si>
    <t>Tỷ lệ kỳ thi/đánh giá kết thúc học phần được tổ chức trên nền tảng khảo thí số</t>
  </si>
  <si>
    <t>Báo cáo nghiệm thu kỳ thi phụ tổ chức thi trực tuyến có giám sát trên máy tính</t>
  </si>
  <si>
    <t>HIỆU SUẤT TRUNG BÌNH THÁNG 8</t>
  </si>
  <si>
    <t>BẢNG ĐÁNH GIÁ KPI THÁNG 8/2026 - PHÒNG HÀNH CHÍNH</t>
  </si>
  <si>
    <t>Xây dựng lộ trình số hóa 30-40% quy trình nghiệp vụ cốt lõi, xác định danh mục ưu tiên</t>
  </si>
  <si>
    <t>Trục liên thông ESB</t>
  </si>
  <si>
    <t>CĐS01</t>
  </si>
  <si>
    <t>Tỷ lệ quy trình nghiệp vụ cốt lõi được số hóa toàn trình</t>
  </si>
  <si>
    <t>Lộ trình và danh mục 35% quy trình nghiệp vụ lõi ưu tiên số hóa đã ban hành</t>
  </si>
  <si>
    <t>Tiếp tục xây dựng, ban hành các văn bản quản lý, điều hành đúng tiến độ</t>
  </si>
  <si>
    <t>Quản lý cấp phát văn bằng</t>
  </si>
  <si>
    <t>QT08</t>
  </si>
  <si>
    <t>Tỷ lệ văn bản, quy chế, quy định nội bộ được rà soát, sửa đổi, bổ sung hoặc ban hành mới</t>
  </si>
  <si>
    <t>Đã rà soát và ban hành đúng quy chuẩn 12 văn bản điều hành trong tháng</t>
  </si>
  <si>
    <t>Đảm bảo an ninh trật tự, tài sản, trông giữ phương tiện và phòng chống cháy nổ</t>
  </si>
  <si>
    <t>QT06</t>
  </si>
  <si>
    <t>Tỷ lệ nhiệm vụ đột xuất, phát sinh được đơn vị tiếp nhận, xử lý hoặc báo cáo đạt yêu cầu</t>
  </si>
  <si>
    <t>Không để xảy ra bất cứ sự cố mất mát, cháy nổ, gây rối trật tự nào trong hè</t>
  </si>
  <si>
    <t>Chuẩn bị kế hoạch rà soát văn bản nội bộ phục vụ triển khai Luật Giáo dục đại học 2025</t>
  </si>
  <si>
    <t>Danh mục và bảng phân công rà soát văn bản nội bộ đã phê duyệt</t>
  </si>
  <si>
    <t>Triển khai văn bản đi/đến xử lý trên hệ thống eOffice tích hợp chữ ký số</t>
  </si>
  <si>
    <t>CCHC02</t>
  </si>
  <si>
    <t>Tỷ lệ văn bản đi/đến được xử lý trên hệ thống quản lý văn bản điện tử, có chữ ký số</t>
  </si>
  <si>
    <t>Báo cáo thống kê từ eOffice: 88.5% văn bản xử lý qua mạng có chữ ký số</t>
  </si>
  <si>
    <t>Đo lường thời gian giải quyết hồ sơ thủ tục hành chính đúng hạn cho cán bộ, sinh viên</t>
  </si>
  <si>
    <t>CCHC04</t>
  </si>
  <si>
    <t>Tỷ lệ hồ sơ, thủ tục hành chính được xử lý đúng hạn so với quy định</t>
  </si>
  <si>
    <t>Báo cáo log hệ thống: 84.2% hồ sơ giải quyết đúng định mức (trễ nhẹ do kỳ nghỉ hè)</t>
  </si>
  <si>
    <t>Rà soát hiện trạng phục vụ lập Bộ quy trình hành chính tích hợp trên nền tảng số</t>
  </si>
  <si>
    <t>CCHC07</t>
  </si>
  <si>
    <t>Hoàn thành rà soát, chuẩn hóa, số hóa và ban hành Bộ quy trình hành chính tích hợp trên nền tảng số</t>
  </si>
  <si>
    <t>Biên bản đánh giá hiện trạng văn thư, số hóa đạt 100% mục tiêu giai đoạn đầu</t>
  </si>
  <si>
    <t>Phân hệ</t>
  </si>
  <si>
    <t>ĐT-01.1</t>
  </si>
  <si>
    <t>ĐT-01.2</t>
  </si>
  <si>
    <t>ĐT-01.3</t>
  </si>
  <si>
    <t>ĐT-01.4</t>
  </si>
  <si>
    <t>ĐT-02.1</t>
  </si>
  <si>
    <t>ĐT-02.2</t>
  </si>
  <si>
    <t>ĐT-02.3</t>
  </si>
  <si>
    <t>ĐT-03.1</t>
  </si>
  <si>
    <t>ĐT-03.2</t>
  </si>
  <si>
    <t>ĐT-03.3</t>
  </si>
  <si>
    <t>ĐT-04.1</t>
  </si>
  <si>
    <t>ĐT-04.2</t>
  </si>
  <si>
    <t>ĐT-04.3</t>
  </si>
  <si>
    <t>ĐT-04.4</t>
  </si>
  <si>
    <t>ĐT-05.1</t>
  </si>
  <si>
    <t>ĐT-05.2</t>
  </si>
  <si>
    <t>ĐT-05.3</t>
  </si>
  <si>
    <t>ĐT-06.1</t>
  </si>
  <si>
    <t>ĐT-06.2</t>
  </si>
  <si>
    <t>ĐT-07.1</t>
  </si>
  <si>
    <t>ĐT-07.2</t>
  </si>
  <si>
    <t>ĐT-08.1</t>
  </si>
  <si>
    <t>ĐT-08.2</t>
  </si>
  <si>
    <t>HC-01.1</t>
  </si>
  <si>
    <t>HC-01.2</t>
  </si>
  <si>
    <t>HC-01.3</t>
  </si>
  <si>
    <t>HC-02.1</t>
  </si>
  <si>
    <t>HC-02.2</t>
  </si>
  <si>
    <t>HC-03.1</t>
  </si>
  <si>
    <t>HC-03.2</t>
  </si>
  <si>
    <t>HC-03.3</t>
  </si>
  <si>
    <t>HC-04.1</t>
  </si>
  <si>
    <t>HC-04.2</t>
  </si>
  <si>
    <t>HC-04.3</t>
  </si>
  <si>
    <t>HC-05.1</t>
  </si>
  <si>
    <t>HC-05.2</t>
  </si>
  <si>
    <t>HC-05.3</t>
  </si>
  <si>
    <t>BẢNG ĐÁNH GIÁ VÀ PHÂN RÃ KPI THÁNG 8/2026 - PHÒNG HÀNH CHÍNH</t>
  </si>
  <si>
    <t>Nhiệm vụ chính /Công việc</t>
  </si>
  <si>
    <t>Nội dung chỉ số KPI chính thức (Từ Quyết định)</t>
  </si>
  <si>
    <t>Hồ sơ Minh chứng đính kèm / Sản phẩm bàn giao</t>
  </si>
  <si>
    <t>Tỷ lệ quy trình nghiệp vụ cốt lõi được số hóa toàn trình.</t>
  </si>
  <si>
    <t xml:space="preserve">  Tổ chức khảo sát hiện trạng quy trình nghiệp vụ tại các đơn vị</t>
  </si>
  <si>
    <t>Chủ trì: Nguyễn Văn X (Hạn: 2026-08-12)</t>
  </si>
  <si>
    <t>Báo cáo khảo sát hiện trạng (Duyệt: Trưởng phòng Hành chính)</t>
  </si>
  <si>
    <t xml:space="preserve">  Xây dựng dự thảo Lộ trình số hóa quy trình nghiệp vụ lõi 35%</t>
  </si>
  <si>
    <t>Chủ trì: Nguyễn Văn X (Hạn: 2026-08-20)</t>
  </si>
  <si>
    <t>Dự thảo lộ trình số hóa (Duyệt: Trưởng phòng Hành chính)</t>
  </si>
  <si>
    <t xml:space="preserve">  Ban hành văn bản Lộ trình số hóa chính thức toàn trường</t>
  </si>
  <si>
    <t>Chủ trì: Lê Thị Y (Hạn: 2026-08-28)</t>
  </si>
  <si>
    <t>Quyết định ban hành lộ trình số hóa (Duyệt: Hiệu trưởng)</t>
  </si>
  <si>
    <t>Tỷ lệ văn bản, quy chế, quy định nội bộ được rà soát, sửa đổi, bổ sung hoặc ban hành mới trong năm học theo Danh mục đã xác định, đáp ứng yêu cầu đổi mới thể chế quản trị và chuyển đổi số...</t>
  </si>
  <si>
    <t xml:space="preserve">  Tiếp nhận và rà soát kỹ thuật dự thảo quy chế từ các đơn vị</t>
  </si>
  <si>
    <t>Chủ trì: Lê Thị Y (Hạn: 2026-08-15)</t>
  </si>
  <si>
    <t>Báo cáo thẩm định kỹ thuật văn bản (Duyệt: Trưởng phòng Hành chính)</t>
  </si>
  <si>
    <t xml:space="preserve">  Trình Hiệu trưởng ký số và phát hành văn bản chính thức</t>
  </si>
  <si>
    <t>Chủ trì: Nguyễn Văn X (Hạn: 2026-08-25)</t>
  </si>
  <si>
    <t>12 văn bản điều hành đã ký số phát hành (Duyệt: Hiệu trưởng)</t>
  </si>
  <si>
    <t>Tỷ lệ nhiệm vụ đột xuất, phát sinh được đơn vị tiếp nhận, xử lý hoặc báo cáo đạt yêu cầu trở lên theo Nhật ký công việc phát sinh...</t>
  </si>
  <si>
    <t xml:space="preserve">  Xây dựng lịch trực tuần tra an ninh trật tự hè toàn diện</t>
  </si>
  <si>
    <t>Chủ trì: Phạm Văn Z (Hạn: 2026-08-05)</t>
  </si>
  <si>
    <t>Lịch trực tuần tra bảo vệ hè (Duyệt: Trưởng phòng Hành chính)</t>
  </si>
  <si>
    <t xml:space="preserve">  Phối hợp với Công an địa phương kiểm tra phòng cháy chữa cháy</t>
  </si>
  <si>
    <t>Chủ trì: Phạm Văn Z (Hạn: 2026-08-15)</t>
  </si>
  <si>
    <t>Biên bản kiểm tra an toàn PCCC (Duyệt: Công an địa phương)</t>
  </si>
  <si>
    <t xml:space="preserve">  Báo cáo định kỳ công tác bảo vệ trật tự trị an cơ sở</t>
  </si>
  <si>
    <t>Chủ trì: Phạm Văn Z (Hạn: 2026-08-30)</t>
  </si>
  <si>
    <t>Báo cáo tổng kết bảo vệ an ninh hè (Duyệt: Trưởng phòng Hành chính)</t>
  </si>
  <si>
    <t xml:space="preserve">  Thu thập Luật Giáo dục đại học 2025 và hướng dẫn liên quan</t>
  </si>
  <si>
    <t>Tập hợp tài liệu văn bản quy phạm pháp luật (Duyệt: Trưởng phòng Hành chính)</t>
  </si>
  <si>
    <t xml:space="preserve">  Lập danh sách các quy chế nội bộ của Trường cần sửa đổi</t>
  </si>
  <si>
    <t>Chủ trì: Nguyễn Văn X (Hạn: 2026-08-22)</t>
  </si>
  <si>
    <t>Báo cáo phân tích đối chiếu pháp luật (Duyệt: Trưởng phòng Hành chính)</t>
  </si>
  <si>
    <t xml:space="preserve">  Xây dựng kế hoạch và phân công tổ soạn thảo rà soát văn bản</t>
  </si>
  <si>
    <t>Kế hoạch rà soát văn bản ban hành (Duyệt: Hiệu trưởng)</t>
  </si>
  <si>
    <t>Tỷ lệ văn bản đi/đến được xử lý trên hệ thống quản lý văn bản điện tử, có chữ ký số.</t>
  </si>
  <si>
    <t xml:space="preserve">  Kiểm tra và cấp mới chứng thư số cho các cán bộ quản lý mới</t>
  </si>
  <si>
    <t>Chủ trì: Lê Thị Y (Hạn: 2026-08-10)</t>
  </si>
  <si>
    <t>Danh sách chứng thư số kích hoạt thành công (Duyệt: Trưởng phòng Hành chính)</t>
  </si>
  <si>
    <t xml:space="preserve">  Kiểm tra kỹ thuật luồng luân chuyển văn bản điện tử toàn trường</t>
  </si>
  <si>
    <t>Sơ đồ cấu hình luồng văn thư điện tử (Duyệt: Trưởng phòng Hành chính)</t>
  </si>
  <si>
    <t xml:space="preserve">  Thống kê tỷ lệ văn bản xử lý qua eOffice có chữ ký số</t>
  </si>
  <si>
    <t>Chủ trì: Nguyễn Văn X (Hạn: 2026-08-31)</t>
  </si>
  <si>
    <t>Báo cáo tỷ lệ đạt 88.5% qua eOffice (Duyệt: Trưởng phòng Hành chính)</t>
  </si>
  <si>
    <t>Tỷ lệ hồ sơ, thủ tục hành chính được xử lý đúng hạn so với quy định.</t>
  </si>
  <si>
    <t>Báo cáo thống kê thời gian giải quyết hồ sơ một cửa thực tế trễ nhẹ đạt 84.2%</t>
  </si>
  <si>
    <t>HC-06.1</t>
  </si>
  <si>
    <t xml:space="preserve">  Cấu hình hạn thời gian xử lý thủ tục hành chính trên hệ thống</t>
  </si>
  <si>
    <t>Chủ trì: Nguyễn Văn X (Hạn: 2026-08-10)</t>
  </si>
  <si>
    <t>Cấu hình mốc thời gian SLA một cửa (Duyệt: Trưởng phòng Hành chính)</t>
  </si>
  <si>
    <t>HC-06.2</t>
  </si>
  <si>
    <t xml:space="preserve">  Giám sát thời gian xử lý hồ sơ hành chính của từng chuyên viên</t>
  </si>
  <si>
    <t>Chủ trì: Lê Thị Y (Hạn: 2026-08-20)</t>
  </si>
  <si>
    <t>Báo cáo log thời gian thực hiện của cán bộ (Duyệt: Trưởng phòng Hành chính)</t>
  </si>
  <si>
    <t>HC-06.3</t>
  </si>
  <si>
    <t xml:space="preserve">  Tổng hợp tỷ lệ hồ sơ hành chính được giải quyết đúng hạn</t>
  </si>
  <si>
    <t>Báo cáo tỷ lệ đúng hạn đạt 84.2% (Duyệt: Trưởng phòng Hành chính)</t>
  </si>
  <si>
    <t>Hoàn thành rà soát, chuẩn hóa, số hóa và ban hành Bộ quy trình hành chính, văn thư, lưu trữ tích hợp trên nền tảng số của Trường.</t>
  </si>
  <si>
    <t>Báo cáo hiện trạng rà soát bộ quy trình hành chính số đã trình phê duyệt</t>
  </si>
  <si>
    <t>HC-07.1</t>
  </si>
  <si>
    <t xml:space="preserve">  Rà soát danh mục các thủ tục hành chính một cửa hiện hành</t>
  </si>
  <si>
    <t>Chủ trì: Nguyễn Văn X (Hạn: 2026-08-15)</t>
  </si>
  <si>
    <t>Danh mục thủ tục hành chính một cửa (Duyệt: Trưởng phòng Hành chính)</t>
  </si>
  <si>
    <t>HC-07.2</t>
  </si>
  <si>
    <t xml:space="preserve">  Dự thảo khung chuẩn hóa hồ sơ đầu vào của từng quy trình</t>
  </si>
  <si>
    <t>Chủ trì: Lê Thị Y (Hạn: 2026-08-22)</t>
  </si>
  <si>
    <t>Dự thảo chuẩn hóa thành phần hồ sơ số (Duyệt: Trưởng phòng Hành chính)</t>
  </si>
  <si>
    <t>HC-07.3</t>
  </si>
  <si>
    <t xml:space="preserve">  Lập báo cáo hiện trạng rà soát bộ quy trình hành chính số</t>
  </si>
  <si>
    <t>Chủ trì: Nguyễn Văn X (Hạn: 2026-08-28)</t>
  </si>
  <si>
    <t>Báo cáo hiện trạng rà soát đã duyệt (Duyệt: Hiệu trưởng)</t>
  </si>
  <si>
    <t>TỔNG HỢP HIỆU SUẤT TRUNG BÌNH THÁNG 8</t>
  </si>
  <si>
    <t>HOÀN THÀNH</t>
  </si>
  <si>
    <t>Hội đồng đánh giá thẩm định tổng hợp</t>
  </si>
  <si>
    <t>BẢNG ĐÁNH GIÁ VÀ PHÂN RÃ KPI THÁNG 8/2026 - PHÒNG ĐÀO TẠO</t>
  </si>
  <si>
    <t>Số dự án khởi nghiệp sáng tạo, đổi mới sáng tạo hoặc EdTech của giảng viên, sinh viên, học viên, nghiên cứu sinh được hình thành, tuyển chọn, ươm tạo hoặc hỗ trợ trong năm học.</t>
  </si>
  <si>
    <t xml:space="preserve">  Thành lập tổ công tác rà soát CĐR cho 15 CTĐT chính quy</t>
  </si>
  <si>
    <t>Chủ trì: Trần Văn A (Hạn: 2026-08-10)</t>
  </si>
  <si>
    <t>Quyết định thành lập tổ công tác (Duyệt: Trưởng phòng Đào tạo)</t>
  </si>
  <si>
    <t xml:space="preserve">  Xây dựng khung tiêu chuẩn năng lực số, AI làm căn cứ cập nhật</t>
  </si>
  <si>
    <t>Chủ trì: Nguyễn Thị B (Hạn: 2026-08-15)</t>
  </si>
  <si>
    <t>Khung tiêu chuẩn năng lực số (Duyệt: Trưởng phòng Đào tạo)</t>
  </si>
  <si>
    <t xml:space="preserve">  Thu thập và tổng hợp báo cáo đề xuất sửa đổi từ 13 khoa đào tạo</t>
  </si>
  <si>
    <t>Chủ trì: Lê Văn C (Hạn: 2026-08-25)</t>
  </si>
  <si>
    <t>Báo cáo tổng hợp ý kiến khoa (Duyệt: Trưởng phòng Đào tạo)</t>
  </si>
  <si>
    <t xml:space="preserve">  Trình Hội đồng Khoa học phê duyệt danh mục CTĐT tích hợp số</t>
  </si>
  <si>
    <t>Chủ trì: Trần Văn A (Hạn: 2026-08-30)</t>
  </si>
  <si>
    <t>Biên bản thông qua danh mục (Duyệt: Hiệu trưởng)</t>
  </si>
  <si>
    <t>Tỷ lệ chương trình đào tạo được rà soát, cập nhật theo hướng tích hợp năng lực số, đổi mới sáng tạo, AI và công nghệ giáo dục đáp ứng Thông tư 54/2026/TT-BGDĐT và Thông tư 56/2026/TT-BGDĐT của Bộ Giáo dục và Đào tạo.</t>
  </si>
  <si>
    <t xml:space="preserve">  Ban hành văn bản hướng dẫn các khoa cập nhật đề cương HK1</t>
  </si>
  <si>
    <t>Chủ trì: Nguyễn Thị B (Hạn: 2026-08-08)</t>
  </si>
  <si>
    <t>Hướng dẫn cập nhật đề cương (Duyệt: Trưởng phòng Đào tạo)</t>
  </si>
  <si>
    <t xml:space="preserve">  Kiểm duyệt đề cương học phần tích hợp AI, kỹ năng số</t>
  </si>
  <si>
    <t>Chủ trì: Lê Văn C (Hạn: 2026-08-20)</t>
  </si>
  <si>
    <t>Danh sách đề cương đã duyệt (Duyệt: Trưởng phòng Đào tạo)</t>
  </si>
  <si>
    <t xml:space="preserve">  Đồng bộ đề cương chi tiết đã duyệt lên cổng thông tin</t>
  </si>
  <si>
    <t>Chủ trì: Phạm Văn D (Hạn: 2026-08-25)</t>
  </si>
  <si>
    <t>Link cập nhật trên cổng học vụ (Duyệt: Trưởng phòng Đào tạo)</t>
  </si>
  <si>
    <t>Tỷ lệ học phần vận hành trên hệ thống LMS có dữ liệu học tập chuẩn theo quy định của Trường.</t>
  </si>
  <si>
    <t xml:space="preserve">  Trích xuất danh sách lớp học phần HK1 mở trực tiếp</t>
  </si>
  <si>
    <t>Chủ trì: Phạm Văn D (Hạn: 2026-08-10)</t>
  </si>
  <si>
    <t>Danh sách lớp học phần xuất từ SIS (Duyệt: Trưởng phòng Đào tạo)</t>
  </si>
  <si>
    <t xml:space="preserve">  Khởi tạo lớp học phần ảo và phân quyền giảng viên trên LMS</t>
  </si>
  <si>
    <t>Chủ trì: Hoàng Văn E (Hạn: 2026-08-15)</t>
  </si>
  <si>
    <t>Danh sách lớp học phần LMS sẵn sàng (Duyệt: Trưởng phòng Đào tạo)</t>
  </si>
  <si>
    <t xml:space="preserve">  Hỗ trợ giảng viên tải học liệu số tiêu chuẩn lên hệ thống</t>
  </si>
  <si>
    <t>Chủ trì: Hoàng Văn E (Hạn: 2026-08-25)</t>
  </si>
  <si>
    <t>65% lớp LMS có đủ học liệu chuẩn (Duyệt: Trưởng phòng Đào tạo)</t>
  </si>
  <si>
    <t>Tỷ lệ thí sinh nhập học thực tế trên tổng số trúng tuyển (giảm tỷ lệ “ảo”).</t>
  </si>
  <si>
    <t xml:space="preserve">  Cấu hình cổng nhập học trực tuyến K52 trên phần mềm</t>
  </si>
  <si>
    <t>Chủ trì: Phạm Văn D (Hạn: 2026-08-05)</t>
  </si>
  <si>
    <t>Cổng nhập học online hoạt động (Duyệt: Trưởng phòng Đào tạo)</t>
  </si>
  <si>
    <t xml:space="preserve">  Tích hợp cổng thanh toán trực tuyến lệ phí nhập học</t>
  </si>
  <si>
    <t>Chủ trì: Nguyễn Thị B (Hạn: 2026-08-12)</t>
  </si>
  <si>
    <t>API gạch nợ học phí tự động liên thông (Duyệt: Trưởng phòng Đào tạo)</t>
  </si>
  <si>
    <t xml:space="preserve">  Hỗ trợ kỹ thuật và giải quyết vướng mắc nhập học số</t>
  </si>
  <si>
    <t>Chủ trì: Hoàng Văn E (Hạn: 2026-08-20)</t>
  </si>
  <si>
    <t>Nhật ký hỗ trợ kỹ thuật online (Duyệt: Trưởng phòng Đào tạo)</t>
  </si>
  <si>
    <t xml:space="preserve">  Tổng hợp và đối soát số liệu nhập học thực tế</t>
  </si>
  <si>
    <t>Chủ trì: Trần Văn A (Hạn: 2026-08-28)</t>
  </si>
  <si>
    <t>Báo cáo sĩ số K52 thực tế đạt 83.5% (Duyệt: Hiệu trưởng)</t>
  </si>
  <si>
    <t>Tốc độ tăng trưởng quy mô tuyển sinh sau đại học (thạc sĩ, tiến sĩ).</t>
  </si>
  <si>
    <t>%/năm</t>
  </si>
  <si>
    <t xml:space="preserve">  Tiếp nhận hồ sơ dự tuyển NCS K16 trực tuyến</t>
  </si>
  <si>
    <t>Chủ trì: Lê Văn C (Hạn: 2026-08-10)</t>
  </si>
  <si>
    <t>Hồ sơ số hóa trên phân hệ SĐH (Duyệt: Trưởng phòng Đào tạo)</t>
  </si>
  <si>
    <t xml:space="preserve">  Thành lập Hội đồng xét tuyển chuyên môn cho từng ngành</t>
  </si>
  <si>
    <t>Chủ trì: Trần Văn A (Hạn: 2026-08-15)</t>
  </si>
  <si>
    <t>Quyết định thành lập hội đồng xét tuyển (Duyệt: Hiệu trưởng)</t>
  </si>
  <si>
    <t xml:space="preserve">  Tổ chức bảo vệ đề cương nghiên cứu và tổng hợp kết quả</t>
  </si>
  <si>
    <t>Biên bản điểm xét tuyển NCS K16 (Duyệt: Hội đồng tuyển sinh)</t>
  </si>
  <si>
    <t>Biên bản nhập học thực tế của 17 NCS K16 đợt 2 đạt tỷ lệ 85%</t>
  </si>
  <si>
    <t xml:space="preserve">  Hướng dẫn làm thủ tục nhập học và đóng học phí trực tuyến</t>
  </si>
  <si>
    <t>Chủ trì: Phạm Văn D (Hạn: 2026-08-26)</t>
  </si>
  <si>
    <t>Email thông báo nhập học và gạch nợ tự động (Duyệt: Trưởng phòng Đào tạo)</t>
  </si>
  <si>
    <t xml:space="preserve">  Thu nhận hồ sơ gốc và bàn giao cho Phòng TCCB</t>
  </si>
  <si>
    <t>Chủ trì: Nguyễn Thị B (Hạn: 2026-08-30)</t>
  </si>
  <si>
    <t>Biên bản bàn giao hồ sơ NCS (Duyệt: Trưởng phòng TCCB)</t>
  </si>
  <si>
    <t>Tỷ lệ hoàn thành chỉ tiêu tuyển sinh được giao.</t>
  </si>
  <si>
    <t>Thông báo tuyển sinh số 102/TB-ĐHSPHN2 đã phát hành công khai</t>
  </si>
  <si>
    <t xml:space="preserve">  Xây dựng dự thảo thông báo tuyển sinh TS K16 đợt 3</t>
  </si>
  <si>
    <t>Chủ trì: Lê Văn C (Hạn: 2026-08-15)</t>
  </si>
  <si>
    <t>Dự thảo thông báo tuyển sinh (Duyệt: Trưởng phòng Đào tạo)</t>
  </si>
  <si>
    <t xml:space="preserve">  Trình BGH phê duyệt và phát hành thông báo chính thức</t>
  </si>
  <si>
    <t>Chủ trì: Trần Văn A (Hạn: 2026-08-20)</t>
  </si>
  <si>
    <t>Thông báo tuyển sinh đóng dấu ký số (Duyệt: Hiệu trưởng)</t>
  </si>
  <si>
    <t>Tỷ lệ sinh viên tốt nghiệp có việc làm, tự tạo việc làm hoặc tiếp tục học tập trong vòng 12 tháng sau tốt nghiệp.</t>
  </si>
  <si>
    <t>Quyết định công nhận tốt nghiệp hệ CQ đợt tháng 8</t>
  </si>
  <si>
    <t xml:space="preserve">  Chạy công cụ tự động quét điều kiện tốt nghiệp của sinh viên</t>
  </si>
  <si>
    <t>Danh sách kết xuất đạt chuẩn tích lũy (Duyệt: Trưởng phòng Đào tạo)</t>
  </si>
  <si>
    <t xml:space="preserve">  Đối soát chuẩn đầu ra ngoại ngữ, tin học với tổ chức cấp chứng chỉ</t>
  </si>
  <si>
    <t>Báo cáo xác thực văn bằng chứng chỉ số (Duyệt: Trưởng phòng Đào tạo)</t>
  </si>
  <si>
    <t>ĐT-08.3</t>
  </si>
  <si>
    <t xml:space="preserve">  Trình Hội đồng xét tốt nghiệp thông qua quyết định chính thức</t>
  </si>
  <si>
    <t>Quyết định tốt nghiệp kèm danh sách SV (Duyệt: Hiệu trưởng)</t>
  </si>
  <si>
    <t>Quyết định công nhận tốt nghiệp thạc sĩ đợt tháng 8</t>
  </si>
  <si>
    <t>ĐT-09.1</t>
  </si>
  <si>
    <t xml:space="preserve">  Thu nhận và thẩm định hồ sơ luận văn/đề án thạc sĩ</t>
  </si>
  <si>
    <t>Chủ trì: Lê Văn C (Hạn: 2026-08-12)</t>
  </si>
  <si>
    <t>Danh sách học viên đủ điều kiện bảo vệ (Duyệt: Trưởng phòng Đào tạo)</t>
  </si>
  <si>
    <t>ĐT-09.2</t>
  </si>
  <si>
    <t xml:space="preserve">  Tổ chức chấm luận văn thạc sĩ và tổng hợp điểm số</t>
  </si>
  <si>
    <t>Chủ trì: Trần Văn A (Hạn: 2026-08-22)</t>
  </si>
  <si>
    <t>Biên bản điểm chấm Luận văn tốt nghiệp (Duyệt: Hội đồng đánh giá)</t>
  </si>
  <si>
    <t>ĐT-09.3</t>
  </si>
  <si>
    <t xml:space="preserve">  Lập tờ trình công nhận tốt nghiệp và cấp bằng thạc sĩ</t>
  </si>
  <si>
    <t>Chủ trì: Lê Văn C (Hạn: 2026-08-28)</t>
  </si>
  <si>
    <t>Tờ trình kèm danh sách học viên tốt nghiệp (Duyệt: Hiệu trưởng)</t>
  </si>
  <si>
    <t>Số trường phổ thông ký kết/duy trì phối hợp thực chất với các đơn vị đào tạo trong thực hành, thực tập sư phạm, đổi mới phương pháp dạy học, NCKH ứng dụng và chuyển đổi số giáo dục.</t>
  </si>
  <si>
    <t>Kế hoạch TTSP năm học 2026-2027 và danh sách 40 trường liên kết đã ký kết</t>
  </si>
  <si>
    <t>ĐT-10.1</t>
  </si>
  <si>
    <t xml:space="preserve">  Xây dựng kế hoạch khung TTSP và liên hệ các trường phổ thông</t>
  </si>
  <si>
    <t>Kế hoạch phối hợp thực tập (Duyệt: Trưởng phòng Đào tạo)</t>
  </si>
  <si>
    <t>ĐT-10.2</t>
  </si>
  <si>
    <t xml:space="preserve">  Tổ chức phân đoàn thực tập và phân công giảng viên hướng dẫn</t>
  </si>
  <si>
    <t>Chủ trì: Phạm Văn D (Hạn: 2026-08-22)</t>
  </si>
  <si>
    <t>Quyết định cử đoàn thực tập của Trường (Duyệt: Hiệu trưởng)</t>
  </si>
  <si>
    <t>ĐT-10.3</t>
  </si>
  <si>
    <t xml:space="preserve">  Ban hành tài liệu hướng dẫn sinh viên rèn luyện nghiệp vụ sư phạm</t>
  </si>
  <si>
    <t>Sổ tay hướng dẫn thực tập số hóa (Duyệt: Trưởng phòng Đào tạo)</t>
  </si>
  <si>
    <t>Bảng điểm tổng hợp học kỳ 2 đã phê duyệt và khóa dữ liệu trên SIS</t>
  </si>
  <si>
    <t>ĐT-11.1</t>
  </si>
  <si>
    <t xml:space="preserve">  Đôn đốc các bộ môn hoàn thành nhập điểm học kỳ 2 trên hệ thống</t>
  </si>
  <si>
    <t>100% điểm học phần được nạp lên SIS (Duyệt: Trưởng phòng Đào tạo)</t>
  </si>
  <si>
    <t>ĐT-11.2</t>
  </si>
  <si>
    <t xml:space="preserve">  Chạy tính năng tự động tính điểm trung bình học kỳ và tích lũy</t>
  </si>
  <si>
    <t>Chủ trì: Hoàng Văn E (Hạn: 2026-08-10)</t>
  </si>
  <si>
    <t>Bảng điểm tổng hợp học kỳ 2 (Duyệt: Trưởng phòng Đào tạo)</t>
  </si>
  <si>
    <t>ĐT-11.3</t>
  </si>
  <si>
    <t xml:space="preserve">  Tổng hợp danh sách sinh viên thuộc diện cảnh báo học vụ</t>
  </si>
  <si>
    <t>Chủ trì: Phạm Văn D (Hạn: 2026-08-15)</t>
  </si>
  <si>
    <t>Danh sách sinh viên bị cảnh báo học tập (Duyệt: Trưởng phòng Đào tạo)</t>
  </si>
  <si>
    <t>Tỷ lệ kỳ thi/đánh giá kết thúc học phần được tổ chức trên nền tảng khảo thí số (thi trên máy tính/trực tuyến có giám sát).</t>
  </si>
  <si>
    <t>Báo cáo tổ chức thi học kỳ phụ không có trường hợp vi phạm quy chế</t>
  </si>
  <si>
    <t>ĐT-12.1</t>
  </si>
  <si>
    <t xml:space="preserve">  Tiếp nhận đơn đăng ký học kỳ phụ và phân lớp học trực tuyến</t>
  </si>
  <si>
    <t>Chủ trì: Phạm Văn D (Hạn: 2026-08-08)</t>
  </si>
  <si>
    <t>Danh sách lớp học kỳ phụ (Duyệt: Trưởng phòng Đào tạo)</t>
  </si>
  <si>
    <t>ĐT-12.2</t>
  </si>
  <si>
    <t xml:space="preserve">  Lập lịch thi và phân công giám thị coi thi học kỳ phụ</t>
  </si>
  <si>
    <t>Lịch thi học kỳ phụ trên hệ thống (Duyệt: Trưởng phòng Đào tạo)</t>
  </si>
  <si>
    <t>ĐT-12.3</t>
  </si>
  <si>
    <t xml:space="preserve">  Tổ chức coi thi, quét bài thi trắc nghiệm và nạp điểm lên hệ thống</t>
  </si>
  <si>
    <t>Kết quả thi học kỳ phụ hoàn tất (Duyệt: Trưởng phòng Đào tạo)</t>
  </si>
  <si>
    <t>Phục vụ nghiệm thu hợp đồng và liên kết Hệ thống KPI ĐHSPHN2</t>
  </si>
  <si>
    <t>Phân hệ / Trách nhiệm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</si>
</sst>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scheme val="minor"/>
    </font>
    <font>
      <u/>
      <sz val="11"/>
      <color theme="10"/>
      <name val="Calibri"/>
      <family val="2"/>
    </font>
    <font>
      <b/>
      <sz val="16"/>
      <color indexed="64"/>
      <name val="Times"/>
      <family val="1"/>
    </font>
    <font>
      <i/>
      <sz val="11"/>
      <color rgb="FF595959"/>
      <name val="Times"/>
      <family val="1"/>
    </font>
    <font>
      <b/>
      <sz val="11"/>
      <color indexed="65"/>
      <name val="Times New Roman"/>
      <family val="1"/>
    </font>
    <font>
      <sz val="11"/>
      <color indexed="64"/>
      <name val="Times New Roman"/>
      <family val="1"/>
    </font>
    <font>
      <b/>
      <sz val="11"/>
      <name val="Times New Roman"/>
      <family val="1"/>
    </font>
    <font>
      <sz val="11"/>
      <color theme="1"/>
      <name val="Times New Roman"/>
      <family val="1"/>
    </font>
    <font>
      <b/>
      <sz val="16"/>
      <color indexed="64"/>
      <name val="Times New Roman"/>
      <family val="1"/>
    </font>
    <font>
      <u/>
      <sz val="11"/>
      <color theme="10"/>
      <name val="Times New Roman"/>
      <family val="1"/>
    </font>
    <font>
      <i/>
      <sz val="11"/>
      <color rgb="FF595959"/>
      <name val="Times New Roman"/>
      <family val="1"/>
    </font>
    <font>
      <b/>
      <sz val="11"/>
      <color rgb="FFFFFFFF"/>
      <name val="Times New Roman"/>
      <family val="1"/>
    </font>
    <font>
      <b/>
      <sz val="16"/>
      <color rgb="FF990000"/>
      <name val="Times New Roman"/>
      <family val="1"/>
    </font>
    <font>
      <u/>
      <sz val="10"/>
      <color rgb="FF0563C1"/>
      <name val="Times New Roman"/>
      <family val="1"/>
    </font>
    <font>
      <b/>
      <sz val="11"/>
      <color rgb="FF000000"/>
      <name val="Times New Roman"/>
      <family val="1"/>
    </font>
    <font>
      <i/>
      <sz val="10"/>
      <color rgb="FF404040"/>
      <name val="Times New Roman"/>
      <family val="1"/>
    </font>
    <font>
      <i/>
      <sz val="9"/>
      <name val="Times New Roman"/>
      <family val="1"/>
    </font>
  </fonts>
  <fills count="11">
    <fill>
      <patternFill patternType="none"/>
    </fill>
    <fill>
      <patternFill patternType="gray125"/>
    </fill>
    <fill>
      <patternFill patternType="solid">
        <fgColor rgb="FF2F5496"/>
        <bgColor rgb="FF2F5496"/>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990000"/>
        <bgColor rgb="FF990000"/>
      </patternFill>
    </fill>
    <fill>
      <patternFill patternType="solid">
        <fgColor rgb="FF1F4E78"/>
        <bgColor rgb="FF1F4E78"/>
      </patternFill>
    </fill>
    <fill>
      <patternFill patternType="solid">
        <fgColor rgb="FFFFFFFF"/>
        <bgColor rgb="FFFFFFFF"/>
      </patternFill>
    </fill>
    <fill>
      <patternFill patternType="solid">
        <fgColor rgb="FFF2F5F8"/>
        <bgColor rgb="FFF2F5F8"/>
      </patternFill>
    </fill>
  </fills>
  <borders count="5">
    <border>
      <left/>
      <right/>
      <top/>
      <bottom/>
      <diagonal/>
    </border>
    <border>
      <left style="thin">
        <color rgb="FFD3D3D3"/>
      </left>
      <right style="thin">
        <color rgb="FFD3D3D3"/>
      </right>
      <top style="thin">
        <color rgb="FFD3D3D3"/>
      </top>
      <bottom style="thin">
        <color rgb="FFD3D3D3"/>
      </bottom>
      <diagonal/>
    </border>
    <border>
      <left/>
      <right/>
      <top style="thin">
        <color indexed="64"/>
      </top>
      <bottom style="double">
        <color indexed="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000000"/>
      </top>
      <bottom style="double">
        <color rgb="FF000000"/>
      </bottom>
      <diagonal/>
    </border>
  </borders>
  <cellStyleXfs count="1">
    <xf numFmtId="0" fontId="0" fillId="0" borderId="0"/>
  </cellStyleXfs>
  <cellXfs count="55">
    <xf numFmtId="0" fontId="0" fillId="0" borderId="0" xfId="0"/>
    <xf numFmtId="0" fontId="1" fillId="0" borderId="0" xfId="0" applyFont="1" applyAlignment="1">
      <alignment horizontal="right" vertical="center"/>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7" fillId="2" borderId="2" xfId="0" applyFont="1" applyFill="1" applyBorder="1"/>
    <xf numFmtId="164" fontId="4" fillId="2" borderId="2" xfId="0" applyNumberFormat="1" applyFont="1" applyFill="1" applyBorder="1" applyAlignment="1">
      <alignment horizontal="right" vertical="center"/>
    </xf>
    <xf numFmtId="0" fontId="4" fillId="2" borderId="2" xfId="0" applyFont="1" applyFill="1" applyBorder="1" applyAlignment="1">
      <alignment horizontal="center" vertical="center" wrapText="1"/>
    </xf>
    <xf numFmtId="0" fontId="7" fillId="2" borderId="2" xfId="0" applyFont="1" applyFill="1" applyBorder="1"/>
    <xf numFmtId="0" fontId="8" fillId="0" borderId="0" xfId="0" applyFont="1"/>
    <xf numFmtId="0" fontId="7" fillId="0" borderId="0" xfId="0" applyFont="1"/>
    <xf numFmtId="0" fontId="9" fillId="0" borderId="0" xfId="0" applyFont="1" applyAlignment="1">
      <alignment horizontal="right" vertical="center"/>
    </xf>
    <xf numFmtId="0" fontId="10" fillId="0" borderId="0" xfId="0" applyFont="1"/>
    <xf numFmtId="0" fontId="11" fillId="8" borderId="3" xfId="0" applyFont="1" applyFill="1" applyBorder="1" applyAlignment="1">
      <alignment horizontal="center" vertical="center" wrapText="1"/>
    </xf>
    <xf numFmtId="164" fontId="5" fillId="6"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164" fontId="5" fillId="0" borderId="1" xfId="0" applyNumberFormat="1" applyFont="1" applyBorder="1" applyAlignment="1">
      <alignment horizontal="center" vertical="center"/>
    </xf>
    <xf numFmtId="49" fontId="5" fillId="6" borderId="1" xfId="0" applyNumberFormat="1" applyFont="1" applyFill="1" applyBorder="1" applyAlignment="1">
      <alignment horizontal="center" vertical="center"/>
    </xf>
    <xf numFmtId="49"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wrapText="1"/>
    </xf>
    <xf numFmtId="165" fontId="5" fillId="0" borderId="1" xfId="0" applyNumberFormat="1" applyFont="1" applyBorder="1" applyAlignment="1">
      <alignment horizontal="center" vertical="center"/>
    </xf>
    <xf numFmtId="165" fontId="5" fillId="5" borderId="1" xfId="0" applyNumberFormat="1" applyFont="1" applyFill="1" applyBorder="1" applyAlignment="1">
      <alignment horizontal="center" vertical="center"/>
    </xf>
    <xf numFmtId="0" fontId="12" fillId="0" borderId="0" xfId="0" applyFont="1"/>
    <xf numFmtId="0" fontId="13" fillId="0" borderId="0" xfId="0" applyFont="1"/>
    <xf numFmtId="0" fontId="14" fillId="9" borderId="3" xfId="0" applyFont="1" applyFill="1" applyBorder="1" applyAlignment="1">
      <alignment horizontal="center" vertical="center" wrapText="1"/>
    </xf>
    <xf numFmtId="0" fontId="14" fillId="9" borderId="3" xfId="0" applyFont="1" applyFill="1" applyBorder="1" applyAlignment="1">
      <alignment horizontal="left" vertical="center" wrapText="1"/>
    </xf>
    <xf numFmtId="10" fontId="14" fillId="9" borderId="3" xfId="0" applyNumberFormat="1" applyFont="1" applyFill="1" applyBorder="1" applyAlignment="1">
      <alignment horizontal="right" vertical="center"/>
    </xf>
    <xf numFmtId="0" fontId="14" fillId="4" borderId="3"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10" borderId="3" xfId="0" applyFont="1" applyFill="1" applyBorder="1" applyAlignment="1">
      <alignment horizontal="left" vertical="center" wrapText="1" indent="1"/>
    </xf>
    <xf numFmtId="0" fontId="15" fillId="10" borderId="3" xfId="0" applyFont="1" applyFill="1" applyBorder="1" applyAlignment="1">
      <alignment horizontal="left" vertical="center" wrapText="1"/>
    </xf>
    <xf numFmtId="0" fontId="16" fillId="10" borderId="3" xfId="0" applyFont="1" applyFill="1" applyBorder="1" applyAlignment="1">
      <alignment horizontal="center" vertical="center"/>
    </xf>
    <xf numFmtId="10" fontId="16" fillId="10" borderId="3" xfId="0" applyNumberFormat="1" applyFont="1" applyFill="1" applyBorder="1" applyAlignment="1">
      <alignment horizontal="right" vertical="center"/>
    </xf>
    <xf numFmtId="10" fontId="14" fillId="4" borderId="3" xfId="0" applyNumberFormat="1" applyFont="1" applyFill="1" applyBorder="1" applyAlignment="1">
      <alignment vertical="center"/>
    </xf>
    <xf numFmtId="10" fontId="14" fillId="5" borderId="3" xfId="0" applyNumberFormat="1" applyFont="1" applyFill="1" applyBorder="1" applyAlignment="1">
      <alignment horizontal="right" vertical="center"/>
    </xf>
    <xf numFmtId="10" fontId="14" fillId="5" borderId="3" xfId="0" applyNumberFormat="1" applyFont="1" applyFill="1" applyBorder="1" applyAlignment="1">
      <alignment vertical="center"/>
    </xf>
    <xf numFmtId="0" fontId="14" fillId="5" borderId="3" xfId="0" applyFont="1" applyFill="1" applyBorder="1" applyAlignment="1">
      <alignment horizontal="center" vertical="center" wrapText="1"/>
    </xf>
    <xf numFmtId="0" fontId="11" fillId="7" borderId="4" xfId="0" applyFont="1" applyFill="1" applyBorder="1"/>
    <xf numFmtId="0" fontId="11" fillId="7" borderId="4" xfId="0" applyFont="1" applyFill="1" applyBorder="1" applyAlignment="1">
      <alignment horizontal="left" vertical="center" wrapText="1"/>
    </xf>
    <xf numFmtId="0" fontId="11" fillId="7" borderId="4" xfId="0" applyFont="1" applyFill="1" applyBorder="1" applyAlignment="1">
      <alignment horizontal="center" vertical="center" wrapText="1"/>
    </xf>
    <xf numFmtId="9" fontId="14" fillId="9" borderId="3" xfId="0" applyNumberFormat="1" applyFont="1" applyFill="1" applyBorder="1" applyAlignment="1">
      <alignment horizontal="right" vertical="center"/>
    </xf>
    <xf numFmtId="164" fontId="14" fillId="4" borderId="3" xfId="0" applyNumberFormat="1" applyFont="1" applyFill="1" applyBorder="1" applyAlignment="1">
      <alignment vertical="center"/>
    </xf>
    <xf numFmtId="164" fontId="16" fillId="10" borderId="3" xfId="0" applyNumberFormat="1" applyFont="1" applyFill="1" applyBorder="1" applyAlignment="1">
      <alignment horizontal="right" vertical="center"/>
    </xf>
    <xf numFmtId="0" fontId="11" fillId="7" borderId="4" xfId="0" applyFont="1" applyFill="1" applyBorder="1" applyAlignment="1">
      <alignment vertical="center"/>
    </xf>
    <xf numFmtId="164" fontId="11" fillId="7" borderId="4" xfId="0" applyNumberFormat="1" applyFont="1" applyFill="1" applyBorder="1" applyAlignment="1">
      <alignment vertical="center"/>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showGridLines="0" workbookViewId="0">
      <selection activeCell="F14" sqref="F14"/>
    </sheetView>
  </sheetViews>
  <sheetFormatPr defaultRowHeight="15" x14ac:dyDescent="0.25"/>
  <cols>
    <col min="1" max="1" width="8.140625" customWidth="1"/>
    <col min="2" max="2" width="36" customWidth="1"/>
    <col min="3" max="3" width="31" customWidth="1"/>
    <col min="4" max="4" width="11" customWidth="1"/>
    <col min="5" max="5" width="38" customWidth="1"/>
    <col min="6" max="6" width="11" customWidth="1"/>
    <col min="7" max="7" width="29" customWidth="1"/>
    <col min="8" max="8" width="27" customWidth="1"/>
    <col min="9" max="9" width="23" customWidth="1"/>
    <col min="10" max="11" width="30.28515625" customWidth="1"/>
  </cols>
  <sheetData>
    <row r="1" spans="1:11" ht="20.25" x14ac:dyDescent="0.3">
      <c r="A1" s="2" t="s">
        <v>0</v>
      </c>
      <c r="K1" s="1"/>
    </row>
    <row r="2" spans="1:11" x14ac:dyDescent="0.25">
      <c r="A2" s="3" t="s">
        <v>1</v>
      </c>
    </row>
    <row r="4" spans="1:11" ht="27.95" customHeight="1" x14ac:dyDescent="0.25">
      <c r="A4" s="4" t="s">
        <v>2</v>
      </c>
      <c r="B4" s="4" t="s">
        <v>3</v>
      </c>
      <c r="C4" s="4" t="s">
        <v>91</v>
      </c>
      <c r="D4" s="4" t="s">
        <v>4</v>
      </c>
      <c r="E4" s="4" t="s">
        <v>5</v>
      </c>
      <c r="F4" s="4" t="s">
        <v>6</v>
      </c>
      <c r="G4" s="4" t="s">
        <v>7</v>
      </c>
      <c r="H4" s="4" t="s">
        <v>8</v>
      </c>
      <c r="I4" s="4" t="s">
        <v>9</v>
      </c>
      <c r="J4" s="4" t="s">
        <v>10</v>
      </c>
      <c r="K4" s="4" t="s">
        <v>11</v>
      </c>
    </row>
    <row r="5" spans="1:11" ht="42" customHeight="1" x14ac:dyDescent="0.25">
      <c r="A5" s="5">
        <v>1</v>
      </c>
      <c r="B5" s="6" t="s">
        <v>12</v>
      </c>
      <c r="C5" s="6" t="s">
        <v>13</v>
      </c>
      <c r="D5" s="5" t="s">
        <v>14</v>
      </c>
      <c r="E5" s="6" t="s">
        <v>15</v>
      </c>
      <c r="F5" s="5" t="s">
        <v>16</v>
      </c>
      <c r="G5" s="22">
        <v>1</v>
      </c>
      <c r="H5" s="23">
        <v>1</v>
      </c>
      <c r="I5" s="24">
        <f t="shared" ref="I5:I9" si="0">IFERROR(H5/G5, 0)</f>
        <v>1</v>
      </c>
      <c r="J5" s="7" t="str">
        <f t="shared" ref="J5:J9" si="1">IF(I5&gt;=1, "ĐẠT", "CHƯA ĐẠT")</f>
        <v>ĐẠT</v>
      </c>
      <c r="K5" s="8" t="s">
        <v>17</v>
      </c>
    </row>
    <row r="6" spans="1:11" ht="42" customHeight="1" x14ac:dyDescent="0.25">
      <c r="A6" s="9">
        <v>2</v>
      </c>
      <c r="B6" s="10" t="s">
        <v>18</v>
      </c>
      <c r="C6" s="10" t="s">
        <v>13</v>
      </c>
      <c r="D6" s="9" t="s">
        <v>19</v>
      </c>
      <c r="E6" s="10" t="s">
        <v>20</v>
      </c>
      <c r="F6" s="9" t="s">
        <v>16</v>
      </c>
      <c r="G6" s="25">
        <v>1</v>
      </c>
      <c r="H6" s="23">
        <v>1</v>
      </c>
      <c r="I6" s="24">
        <f t="shared" si="0"/>
        <v>1</v>
      </c>
      <c r="J6" s="11" t="str">
        <f t="shared" si="1"/>
        <v>ĐẠT</v>
      </c>
      <c r="K6" s="8" t="s">
        <v>21</v>
      </c>
    </row>
    <row r="7" spans="1:11" ht="42" customHeight="1" x14ac:dyDescent="0.25">
      <c r="A7" s="5">
        <v>3</v>
      </c>
      <c r="B7" s="6" t="s">
        <v>22</v>
      </c>
      <c r="C7" s="6" t="s">
        <v>23</v>
      </c>
      <c r="D7" s="5" t="s">
        <v>24</v>
      </c>
      <c r="E7" s="6" t="s">
        <v>25</v>
      </c>
      <c r="F7" s="5" t="s">
        <v>16</v>
      </c>
      <c r="G7" s="22">
        <v>0.6</v>
      </c>
      <c r="H7" s="23">
        <v>0.65</v>
      </c>
      <c r="I7" s="24">
        <f t="shared" si="0"/>
        <v>1.0833333333333335</v>
      </c>
      <c r="J7" s="7" t="str">
        <f t="shared" si="1"/>
        <v>ĐẠT</v>
      </c>
      <c r="K7" s="8" t="s">
        <v>26</v>
      </c>
    </row>
    <row r="8" spans="1:11" ht="42" customHeight="1" x14ac:dyDescent="0.25">
      <c r="A8" s="9">
        <v>4</v>
      </c>
      <c r="B8" s="10" t="s">
        <v>27</v>
      </c>
      <c r="C8" s="10" t="s">
        <v>28</v>
      </c>
      <c r="D8" s="9" t="s">
        <v>29</v>
      </c>
      <c r="E8" s="10" t="s">
        <v>30</v>
      </c>
      <c r="F8" s="9" t="s">
        <v>16</v>
      </c>
      <c r="G8" s="25">
        <v>0.8</v>
      </c>
      <c r="H8" s="28">
        <v>0.83499999999999996</v>
      </c>
      <c r="I8" s="24">
        <f t="shared" si="0"/>
        <v>1.04375</v>
      </c>
      <c r="J8" s="11" t="str">
        <f t="shared" si="1"/>
        <v>ĐẠT</v>
      </c>
      <c r="K8" s="8" t="s">
        <v>31</v>
      </c>
    </row>
    <row r="9" spans="1:11" ht="42" customHeight="1" x14ac:dyDescent="0.25">
      <c r="A9" s="5">
        <v>5</v>
      </c>
      <c r="B9" s="6" t="s">
        <v>32</v>
      </c>
      <c r="C9" s="6" t="s">
        <v>33</v>
      </c>
      <c r="D9" s="5" t="s">
        <v>34</v>
      </c>
      <c r="E9" s="6" t="s">
        <v>35</v>
      </c>
      <c r="F9" s="5" t="s">
        <v>16</v>
      </c>
      <c r="G9" s="22">
        <v>0.05</v>
      </c>
      <c r="H9" s="23">
        <v>6.2E-2</v>
      </c>
      <c r="I9" s="24">
        <f t="shared" si="0"/>
        <v>1.24</v>
      </c>
      <c r="J9" s="7" t="str">
        <f t="shared" si="1"/>
        <v>ĐẠT</v>
      </c>
      <c r="K9" s="8" t="s">
        <v>36</v>
      </c>
    </row>
    <row r="10" spans="1:11" ht="42" customHeight="1" x14ac:dyDescent="0.25">
      <c r="A10" s="9">
        <v>6</v>
      </c>
      <c r="B10" s="10" t="s">
        <v>37</v>
      </c>
      <c r="C10" s="10" t="s">
        <v>28</v>
      </c>
      <c r="D10" s="9" t="s">
        <v>29</v>
      </c>
      <c r="E10" s="10" t="s">
        <v>30</v>
      </c>
      <c r="F10" s="9" t="s">
        <v>16</v>
      </c>
      <c r="G10" s="25">
        <v>0.8</v>
      </c>
      <c r="H10" s="23">
        <v>0.85</v>
      </c>
      <c r="I10" s="24">
        <f t="shared" ref="I10:I16" si="2">IFERROR(H10/G10, 0)</f>
        <v>1.0625</v>
      </c>
      <c r="J10" s="11" t="str">
        <f t="shared" ref="J10:J16" si="3">IF(I10&gt;=1, "ĐẠT", "CHƯA ĐẠT")</f>
        <v>ĐẠT</v>
      </c>
      <c r="K10" s="8" t="s">
        <v>38</v>
      </c>
    </row>
    <row r="11" spans="1:11" ht="42" customHeight="1" x14ac:dyDescent="0.25">
      <c r="A11" s="5">
        <v>7</v>
      </c>
      <c r="B11" s="6" t="s">
        <v>39</v>
      </c>
      <c r="C11" s="6" t="s">
        <v>28</v>
      </c>
      <c r="D11" s="5" t="s">
        <v>40</v>
      </c>
      <c r="E11" s="6" t="s">
        <v>41</v>
      </c>
      <c r="F11" s="5" t="s">
        <v>16</v>
      </c>
      <c r="G11" s="22">
        <v>1</v>
      </c>
      <c r="H11" s="23">
        <v>1</v>
      </c>
      <c r="I11" s="24">
        <f t="shared" si="2"/>
        <v>1</v>
      </c>
      <c r="J11" s="7" t="str">
        <f t="shared" si="3"/>
        <v>ĐẠT</v>
      </c>
      <c r="K11" s="8" t="s">
        <v>42</v>
      </c>
    </row>
    <row r="12" spans="1:11" ht="42" customHeight="1" x14ac:dyDescent="0.25">
      <c r="A12" s="9">
        <v>8</v>
      </c>
      <c r="B12" s="10" t="s">
        <v>43</v>
      </c>
      <c r="C12" s="10" t="s">
        <v>44</v>
      </c>
      <c r="D12" s="9" t="s">
        <v>45</v>
      </c>
      <c r="E12" s="10" t="s">
        <v>46</v>
      </c>
      <c r="F12" s="9" t="s">
        <v>16</v>
      </c>
      <c r="G12" s="25">
        <v>1</v>
      </c>
      <c r="H12" s="23">
        <v>1</v>
      </c>
      <c r="I12" s="24">
        <f t="shared" si="2"/>
        <v>1</v>
      </c>
      <c r="J12" s="11" t="str">
        <f t="shared" si="3"/>
        <v>ĐẠT</v>
      </c>
      <c r="K12" s="8" t="s">
        <v>47</v>
      </c>
    </row>
    <row r="13" spans="1:11" ht="42" customHeight="1" x14ac:dyDescent="0.25">
      <c r="A13" s="5">
        <v>9</v>
      </c>
      <c r="B13" s="6" t="s">
        <v>48</v>
      </c>
      <c r="C13" s="6" t="s">
        <v>44</v>
      </c>
      <c r="D13" s="5" t="s">
        <v>45</v>
      </c>
      <c r="E13" s="6" t="s">
        <v>46</v>
      </c>
      <c r="F13" s="5" t="s">
        <v>16</v>
      </c>
      <c r="G13" s="22">
        <v>1</v>
      </c>
      <c r="H13" s="23">
        <v>1</v>
      </c>
      <c r="I13" s="24">
        <f t="shared" si="2"/>
        <v>1</v>
      </c>
      <c r="J13" s="7" t="str">
        <f t="shared" si="3"/>
        <v>ĐẠT</v>
      </c>
      <c r="K13" s="8" t="s">
        <v>49</v>
      </c>
    </row>
    <row r="14" spans="1:11" ht="42" customHeight="1" x14ac:dyDescent="0.25">
      <c r="A14" s="9">
        <v>10</v>
      </c>
      <c r="B14" s="10" t="s">
        <v>50</v>
      </c>
      <c r="C14" s="10" t="s">
        <v>33</v>
      </c>
      <c r="D14" s="9" t="s">
        <v>51</v>
      </c>
      <c r="E14" s="10" t="s">
        <v>52</v>
      </c>
      <c r="F14" s="9" t="s">
        <v>53</v>
      </c>
      <c r="G14" s="29">
        <v>1</v>
      </c>
      <c r="H14" s="30">
        <v>1</v>
      </c>
      <c r="I14" s="24">
        <f t="shared" si="2"/>
        <v>1</v>
      </c>
      <c r="J14" s="11" t="str">
        <f t="shared" si="3"/>
        <v>ĐẠT</v>
      </c>
      <c r="K14" s="8" t="s">
        <v>54</v>
      </c>
    </row>
    <row r="15" spans="1:11" ht="42" customHeight="1" x14ac:dyDescent="0.25">
      <c r="A15" s="5">
        <v>11</v>
      </c>
      <c r="B15" s="6" t="s">
        <v>55</v>
      </c>
      <c r="C15" s="6" t="s">
        <v>33</v>
      </c>
      <c r="D15" s="5" t="s">
        <v>24</v>
      </c>
      <c r="E15" s="6" t="s">
        <v>25</v>
      </c>
      <c r="F15" s="5" t="s">
        <v>16</v>
      </c>
      <c r="G15" s="22">
        <v>1</v>
      </c>
      <c r="H15" s="23">
        <v>1</v>
      </c>
      <c r="I15" s="24">
        <f t="shared" si="2"/>
        <v>1</v>
      </c>
      <c r="J15" s="7" t="str">
        <f t="shared" si="3"/>
        <v>ĐẠT</v>
      </c>
      <c r="K15" s="8" t="s">
        <v>56</v>
      </c>
    </row>
    <row r="16" spans="1:11" ht="42" customHeight="1" x14ac:dyDescent="0.25">
      <c r="A16" s="9">
        <v>12</v>
      </c>
      <c r="B16" s="10" t="s">
        <v>57</v>
      </c>
      <c r="C16" s="10" t="s">
        <v>33</v>
      </c>
      <c r="D16" s="9" t="s">
        <v>58</v>
      </c>
      <c r="E16" s="10" t="s">
        <v>59</v>
      </c>
      <c r="F16" s="9" t="s">
        <v>16</v>
      </c>
      <c r="G16" s="25">
        <v>1</v>
      </c>
      <c r="H16" s="23">
        <v>1</v>
      </c>
      <c r="I16" s="24">
        <f t="shared" si="2"/>
        <v>1</v>
      </c>
      <c r="J16" s="11" t="str">
        <f t="shared" si="3"/>
        <v>ĐẠT</v>
      </c>
      <c r="K16" s="8" t="s">
        <v>60</v>
      </c>
    </row>
    <row r="17" spans="1:11" ht="26.1" customHeight="1" x14ac:dyDescent="0.25">
      <c r="A17" s="12" t="s">
        <v>61</v>
      </c>
      <c r="B17" s="13"/>
      <c r="C17" s="13"/>
      <c r="D17" s="13"/>
      <c r="E17" s="13"/>
      <c r="F17" s="13"/>
      <c r="G17" s="13"/>
      <c r="H17" s="13"/>
      <c r="I17" s="14">
        <f>AVERAGE(I5:I16)</f>
        <v>1.035798611111111</v>
      </c>
      <c r="J17" s="15" t="str">
        <f>IF(I17&gt;=1, "HOÀN THÀNH KẾ HOẠCH", "CHƯA HOÀN THÀNH")</f>
        <v>HOÀN THÀNH KẾ HOẠCH</v>
      </c>
      <c r="K17" s="16"/>
    </row>
  </sheetData>
  <mergeCells count="1">
    <mergeCell ref="A17:H17"/>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6110-107F-4B31-ACF6-2D2E7AA4EDF4}">
  <dimension ref="A1:K53"/>
  <sheetViews>
    <sheetView tabSelected="1" workbookViewId="0">
      <selection activeCell="E7" sqref="E7"/>
    </sheetView>
  </sheetViews>
  <sheetFormatPr defaultRowHeight="15" x14ac:dyDescent="0.25"/>
  <cols>
    <col min="1" max="1" width="10" style="18" customWidth="1"/>
    <col min="2" max="2" width="70" style="18" customWidth="1"/>
    <col min="3" max="3" width="40" style="18" customWidth="1"/>
    <col min="4" max="4" width="12" style="18" customWidth="1"/>
    <col min="5" max="5" width="50" style="18" customWidth="1"/>
    <col min="6" max="6" width="10" style="18" customWidth="1"/>
    <col min="7" max="8" width="12" style="54" customWidth="1"/>
    <col min="9" max="10" width="15" style="54" customWidth="1"/>
    <col min="11" max="11" width="65" style="18" customWidth="1"/>
    <col min="12" max="16384" width="9.140625" style="18"/>
  </cols>
  <sheetData>
    <row r="1" spans="1:11" ht="20.25" x14ac:dyDescent="0.3">
      <c r="A1" s="31" t="s">
        <v>206</v>
      </c>
    </row>
    <row r="2" spans="1:11" x14ac:dyDescent="0.25">
      <c r="A2" s="20" t="s">
        <v>336</v>
      </c>
    </row>
    <row r="3" spans="1:11" x14ac:dyDescent="0.25">
      <c r="A3" s="32"/>
    </row>
    <row r="4" spans="1:11" ht="42.75" x14ac:dyDescent="0.25">
      <c r="A4" s="21" t="s">
        <v>2</v>
      </c>
      <c r="B4" s="21" t="s">
        <v>130</v>
      </c>
      <c r="C4" s="21" t="s">
        <v>337</v>
      </c>
      <c r="D4" s="21" t="s">
        <v>4</v>
      </c>
      <c r="E4" s="21" t="s">
        <v>131</v>
      </c>
      <c r="F4" s="21" t="s">
        <v>6</v>
      </c>
      <c r="G4" s="21" t="s">
        <v>7</v>
      </c>
      <c r="H4" s="21" t="s">
        <v>8</v>
      </c>
      <c r="I4" s="21" t="s">
        <v>9</v>
      </c>
      <c r="J4" s="21" t="s">
        <v>10</v>
      </c>
      <c r="K4" s="21" t="s">
        <v>132</v>
      </c>
    </row>
    <row r="5" spans="1:11" ht="57" x14ac:dyDescent="0.25">
      <c r="A5" s="33">
        <v>1</v>
      </c>
      <c r="B5" s="34" t="s">
        <v>12</v>
      </c>
      <c r="C5" s="34" t="s">
        <v>13</v>
      </c>
      <c r="D5" s="33" t="s">
        <v>14</v>
      </c>
      <c r="E5" s="34" t="s">
        <v>207</v>
      </c>
      <c r="F5" s="33" t="s">
        <v>16</v>
      </c>
      <c r="G5" s="49">
        <v>1</v>
      </c>
      <c r="H5" s="49">
        <v>1</v>
      </c>
      <c r="I5" s="50">
        <f t="shared" ref="I5:I52" si="0">IFERROR(H5/G5, 0)</f>
        <v>1</v>
      </c>
      <c r="J5" s="36" t="str">
        <f t="shared" ref="J5:J52" si="1">IF(I5&gt;=1, "ĐẠT", "CHƯA ĐẠT")</f>
        <v>ĐẠT</v>
      </c>
      <c r="K5" s="34" t="s">
        <v>17</v>
      </c>
    </row>
    <row r="6" spans="1:11" ht="51" x14ac:dyDescent="0.25">
      <c r="A6" s="37" t="s">
        <v>92</v>
      </c>
      <c r="B6" s="38" t="s">
        <v>208</v>
      </c>
      <c r="C6" s="39" t="s">
        <v>209</v>
      </c>
      <c r="D6" s="37" t="s">
        <v>14</v>
      </c>
      <c r="E6" s="39" t="s">
        <v>207</v>
      </c>
      <c r="F6" s="40" t="s">
        <v>16</v>
      </c>
      <c r="G6" s="51">
        <v>1</v>
      </c>
      <c r="H6" s="51">
        <v>1</v>
      </c>
      <c r="I6" s="51">
        <f t="shared" si="0"/>
        <v>1</v>
      </c>
      <c r="J6" s="40" t="str">
        <f t="shared" si="1"/>
        <v>ĐẠT</v>
      </c>
      <c r="K6" s="39" t="s">
        <v>210</v>
      </c>
    </row>
    <row r="7" spans="1:11" ht="51" x14ac:dyDescent="0.25">
      <c r="A7" s="37" t="s">
        <v>93</v>
      </c>
      <c r="B7" s="38" t="s">
        <v>211</v>
      </c>
      <c r="C7" s="39" t="s">
        <v>212</v>
      </c>
      <c r="D7" s="37" t="s">
        <v>14</v>
      </c>
      <c r="E7" s="39" t="s">
        <v>207</v>
      </c>
      <c r="F7" s="40" t="s">
        <v>16</v>
      </c>
      <c r="G7" s="51">
        <v>1</v>
      </c>
      <c r="H7" s="51">
        <v>1</v>
      </c>
      <c r="I7" s="51">
        <f t="shared" si="0"/>
        <v>1</v>
      </c>
      <c r="J7" s="40" t="str">
        <f t="shared" si="1"/>
        <v>ĐẠT</v>
      </c>
      <c r="K7" s="39" t="s">
        <v>213</v>
      </c>
    </row>
    <row r="8" spans="1:11" ht="51" x14ac:dyDescent="0.25">
      <c r="A8" s="37" t="s">
        <v>94</v>
      </c>
      <c r="B8" s="38" t="s">
        <v>214</v>
      </c>
      <c r="C8" s="39" t="s">
        <v>215</v>
      </c>
      <c r="D8" s="37" t="s">
        <v>14</v>
      </c>
      <c r="E8" s="39" t="s">
        <v>207</v>
      </c>
      <c r="F8" s="40" t="s">
        <v>16</v>
      </c>
      <c r="G8" s="51">
        <v>1</v>
      </c>
      <c r="H8" s="51">
        <v>1</v>
      </c>
      <c r="I8" s="51">
        <f t="shared" si="0"/>
        <v>1</v>
      </c>
      <c r="J8" s="40" t="str">
        <f t="shared" si="1"/>
        <v>ĐẠT</v>
      </c>
      <c r="K8" s="39" t="s">
        <v>216</v>
      </c>
    </row>
    <row r="9" spans="1:11" ht="51" x14ac:dyDescent="0.25">
      <c r="A9" s="37" t="s">
        <v>95</v>
      </c>
      <c r="B9" s="38" t="s">
        <v>217</v>
      </c>
      <c r="C9" s="39" t="s">
        <v>218</v>
      </c>
      <c r="D9" s="37" t="s">
        <v>14</v>
      </c>
      <c r="E9" s="39" t="s">
        <v>207</v>
      </c>
      <c r="F9" s="40" t="s">
        <v>16</v>
      </c>
      <c r="G9" s="51">
        <v>1</v>
      </c>
      <c r="H9" s="51">
        <v>1</v>
      </c>
      <c r="I9" s="51">
        <f t="shared" si="0"/>
        <v>1</v>
      </c>
      <c r="J9" s="40" t="str">
        <f t="shared" si="1"/>
        <v>ĐẠT</v>
      </c>
      <c r="K9" s="39" t="s">
        <v>219</v>
      </c>
    </row>
    <row r="10" spans="1:11" ht="71.25" x14ac:dyDescent="0.25">
      <c r="A10" s="33">
        <v>2</v>
      </c>
      <c r="B10" s="34" t="s">
        <v>18</v>
      </c>
      <c r="C10" s="34" t="s">
        <v>13</v>
      </c>
      <c r="D10" s="33" t="s">
        <v>19</v>
      </c>
      <c r="E10" s="34" t="s">
        <v>220</v>
      </c>
      <c r="F10" s="33" t="s">
        <v>16</v>
      </c>
      <c r="G10" s="49">
        <v>1</v>
      </c>
      <c r="H10" s="49">
        <v>1</v>
      </c>
      <c r="I10" s="50">
        <f t="shared" si="0"/>
        <v>1</v>
      </c>
      <c r="J10" s="36" t="str">
        <f t="shared" si="1"/>
        <v>ĐẠT</v>
      </c>
      <c r="K10" s="34" t="s">
        <v>21</v>
      </c>
    </row>
    <row r="11" spans="1:11" ht="51" x14ac:dyDescent="0.25">
      <c r="A11" s="37" t="s">
        <v>96</v>
      </c>
      <c r="B11" s="38" t="s">
        <v>221</v>
      </c>
      <c r="C11" s="39" t="s">
        <v>222</v>
      </c>
      <c r="D11" s="37" t="s">
        <v>19</v>
      </c>
      <c r="E11" s="39" t="s">
        <v>220</v>
      </c>
      <c r="F11" s="40" t="s">
        <v>16</v>
      </c>
      <c r="G11" s="51">
        <v>1</v>
      </c>
      <c r="H11" s="51">
        <v>1</v>
      </c>
      <c r="I11" s="51">
        <f t="shared" si="0"/>
        <v>1</v>
      </c>
      <c r="J11" s="40" t="str">
        <f t="shared" si="1"/>
        <v>ĐẠT</v>
      </c>
      <c r="K11" s="39" t="s">
        <v>223</v>
      </c>
    </row>
    <row r="12" spans="1:11" ht="51" x14ac:dyDescent="0.25">
      <c r="A12" s="37" t="s">
        <v>97</v>
      </c>
      <c r="B12" s="38" t="s">
        <v>224</v>
      </c>
      <c r="C12" s="39" t="s">
        <v>225</v>
      </c>
      <c r="D12" s="37" t="s">
        <v>19</v>
      </c>
      <c r="E12" s="39" t="s">
        <v>220</v>
      </c>
      <c r="F12" s="40" t="s">
        <v>16</v>
      </c>
      <c r="G12" s="51">
        <v>1</v>
      </c>
      <c r="H12" s="51">
        <v>1</v>
      </c>
      <c r="I12" s="51">
        <f t="shared" si="0"/>
        <v>1</v>
      </c>
      <c r="J12" s="40" t="str">
        <f t="shared" si="1"/>
        <v>ĐẠT</v>
      </c>
      <c r="K12" s="39" t="s">
        <v>226</v>
      </c>
    </row>
    <row r="13" spans="1:11" ht="51" x14ac:dyDescent="0.25">
      <c r="A13" s="37" t="s">
        <v>98</v>
      </c>
      <c r="B13" s="38" t="s">
        <v>227</v>
      </c>
      <c r="C13" s="39" t="s">
        <v>228</v>
      </c>
      <c r="D13" s="37" t="s">
        <v>19</v>
      </c>
      <c r="E13" s="39" t="s">
        <v>220</v>
      </c>
      <c r="F13" s="40" t="s">
        <v>16</v>
      </c>
      <c r="G13" s="51">
        <v>1</v>
      </c>
      <c r="H13" s="51">
        <v>0.95</v>
      </c>
      <c r="I13" s="51">
        <f t="shared" si="0"/>
        <v>0.95</v>
      </c>
      <c r="J13" s="40" t="str">
        <f t="shared" si="1"/>
        <v>CHƯA ĐẠT</v>
      </c>
      <c r="K13" s="39" t="s">
        <v>229</v>
      </c>
    </row>
    <row r="14" spans="1:11" ht="28.5" x14ac:dyDescent="0.25">
      <c r="A14" s="33">
        <v>3</v>
      </c>
      <c r="B14" s="34" t="s">
        <v>22</v>
      </c>
      <c r="C14" s="34" t="s">
        <v>23</v>
      </c>
      <c r="D14" s="33" t="s">
        <v>24</v>
      </c>
      <c r="E14" s="34" t="s">
        <v>230</v>
      </c>
      <c r="F14" s="33" t="s">
        <v>16</v>
      </c>
      <c r="G14" s="49">
        <v>0.6</v>
      </c>
      <c r="H14" s="49">
        <v>0.65</v>
      </c>
      <c r="I14" s="50">
        <f t="shared" si="0"/>
        <v>1.0833333333333335</v>
      </c>
      <c r="J14" s="36" t="str">
        <f t="shared" si="1"/>
        <v>ĐẠT</v>
      </c>
      <c r="K14" s="34" t="s">
        <v>26</v>
      </c>
    </row>
    <row r="15" spans="1:11" ht="25.5" x14ac:dyDescent="0.25">
      <c r="A15" s="37" t="s">
        <v>99</v>
      </c>
      <c r="B15" s="38" t="s">
        <v>231</v>
      </c>
      <c r="C15" s="39" t="s">
        <v>232</v>
      </c>
      <c r="D15" s="37" t="s">
        <v>24</v>
      </c>
      <c r="E15" s="39" t="s">
        <v>230</v>
      </c>
      <c r="F15" s="40" t="s">
        <v>16</v>
      </c>
      <c r="G15" s="51">
        <v>1</v>
      </c>
      <c r="H15" s="51">
        <v>1</v>
      </c>
      <c r="I15" s="51">
        <f t="shared" si="0"/>
        <v>1</v>
      </c>
      <c r="J15" s="40" t="str">
        <f t="shared" si="1"/>
        <v>ĐẠT</v>
      </c>
      <c r="K15" s="39" t="s">
        <v>233</v>
      </c>
    </row>
    <row r="16" spans="1:11" ht="25.5" x14ac:dyDescent="0.25">
      <c r="A16" s="37" t="s">
        <v>100</v>
      </c>
      <c r="B16" s="38" t="s">
        <v>234</v>
      </c>
      <c r="C16" s="39" t="s">
        <v>235</v>
      </c>
      <c r="D16" s="37" t="s">
        <v>24</v>
      </c>
      <c r="E16" s="39" t="s">
        <v>230</v>
      </c>
      <c r="F16" s="40" t="s">
        <v>16</v>
      </c>
      <c r="G16" s="51">
        <v>1</v>
      </c>
      <c r="H16" s="51">
        <v>1</v>
      </c>
      <c r="I16" s="51">
        <f t="shared" si="0"/>
        <v>1</v>
      </c>
      <c r="J16" s="40" t="str">
        <f t="shared" si="1"/>
        <v>ĐẠT</v>
      </c>
      <c r="K16" s="39" t="s">
        <v>236</v>
      </c>
    </row>
    <row r="17" spans="1:11" ht="25.5" x14ac:dyDescent="0.25">
      <c r="A17" s="37" t="s">
        <v>101</v>
      </c>
      <c r="B17" s="38" t="s">
        <v>237</v>
      </c>
      <c r="C17" s="39" t="s">
        <v>238</v>
      </c>
      <c r="D17" s="37" t="s">
        <v>24</v>
      </c>
      <c r="E17" s="39" t="s">
        <v>230</v>
      </c>
      <c r="F17" s="40" t="s">
        <v>16</v>
      </c>
      <c r="G17" s="51">
        <v>1</v>
      </c>
      <c r="H17" s="51">
        <v>0.9</v>
      </c>
      <c r="I17" s="51">
        <f t="shared" si="0"/>
        <v>0.9</v>
      </c>
      <c r="J17" s="40" t="str">
        <f t="shared" si="1"/>
        <v>CHƯA ĐẠT</v>
      </c>
      <c r="K17" s="39" t="s">
        <v>239</v>
      </c>
    </row>
    <row r="18" spans="1:11" ht="28.5" x14ac:dyDescent="0.25">
      <c r="A18" s="33">
        <v>4</v>
      </c>
      <c r="B18" s="34" t="s">
        <v>27</v>
      </c>
      <c r="C18" s="34" t="s">
        <v>28</v>
      </c>
      <c r="D18" s="33" t="s">
        <v>29</v>
      </c>
      <c r="E18" s="34" t="s">
        <v>240</v>
      </c>
      <c r="F18" s="33" t="s">
        <v>16</v>
      </c>
      <c r="G18" s="49">
        <v>0.8</v>
      </c>
      <c r="H18" s="49">
        <v>0.83499999999999996</v>
      </c>
      <c r="I18" s="50">
        <f t="shared" si="0"/>
        <v>1.04375</v>
      </c>
      <c r="J18" s="36" t="str">
        <f t="shared" si="1"/>
        <v>ĐẠT</v>
      </c>
      <c r="K18" s="34" t="s">
        <v>31</v>
      </c>
    </row>
    <row r="19" spans="1:11" ht="25.5" x14ac:dyDescent="0.25">
      <c r="A19" s="37" t="s">
        <v>102</v>
      </c>
      <c r="B19" s="38" t="s">
        <v>241</v>
      </c>
      <c r="C19" s="39" t="s">
        <v>242</v>
      </c>
      <c r="D19" s="37" t="s">
        <v>29</v>
      </c>
      <c r="E19" s="39" t="s">
        <v>240</v>
      </c>
      <c r="F19" s="40" t="s">
        <v>16</v>
      </c>
      <c r="G19" s="51">
        <v>1</v>
      </c>
      <c r="H19" s="51">
        <v>1</v>
      </c>
      <c r="I19" s="51">
        <f t="shared" si="0"/>
        <v>1</v>
      </c>
      <c r="J19" s="40" t="str">
        <f t="shared" si="1"/>
        <v>ĐẠT</v>
      </c>
      <c r="K19" s="39" t="s">
        <v>243</v>
      </c>
    </row>
    <row r="20" spans="1:11" ht="25.5" x14ac:dyDescent="0.25">
      <c r="A20" s="37" t="s">
        <v>103</v>
      </c>
      <c r="B20" s="38" t="s">
        <v>244</v>
      </c>
      <c r="C20" s="39" t="s">
        <v>245</v>
      </c>
      <c r="D20" s="37" t="s">
        <v>29</v>
      </c>
      <c r="E20" s="39" t="s">
        <v>240</v>
      </c>
      <c r="F20" s="40" t="s">
        <v>16</v>
      </c>
      <c r="G20" s="51">
        <v>1</v>
      </c>
      <c r="H20" s="51">
        <v>1</v>
      </c>
      <c r="I20" s="51">
        <f t="shared" si="0"/>
        <v>1</v>
      </c>
      <c r="J20" s="40" t="str">
        <f t="shared" si="1"/>
        <v>ĐẠT</v>
      </c>
      <c r="K20" s="39" t="s">
        <v>246</v>
      </c>
    </row>
    <row r="21" spans="1:11" ht="25.5" x14ac:dyDescent="0.25">
      <c r="A21" s="37" t="s">
        <v>104</v>
      </c>
      <c r="B21" s="38" t="s">
        <v>247</v>
      </c>
      <c r="C21" s="39" t="s">
        <v>248</v>
      </c>
      <c r="D21" s="37" t="s">
        <v>29</v>
      </c>
      <c r="E21" s="39" t="s">
        <v>240</v>
      </c>
      <c r="F21" s="40" t="s">
        <v>16</v>
      </c>
      <c r="G21" s="51">
        <v>1</v>
      </c>
      <c r="H21" s="51">
        <v>0.9</v>
      </c>
      <c r="I21" s="51">
        <f t="shared" si="0"/>
        <v>0.9</v>
      </c>
      <c r="J21" s="40" t="str">
        <f t="shared" si="1"/>
        <v>CHƯA ĐẠT</v>
      </c>
      <c r="K21" s="39" t="s">
        <v>249</v>
      </c>
    </row>
    <row r="22" spans="1:11" ht="25.5" x14ac:dyDescent="0.25">
      <c r="A22" s="37" t="s">
        <v>105</v>
      </c>
      <c r="B22" s="38" t="s">
        <v>250</v>
      </c>
      <c r="C22" s="39" t="s">
        <v>251</v>
      </c>
      <c r="D22" s="37" t="s">
        <v>29</v>
      </c>
      <c r="E22" s="39" t="s">
        <v>240</v>
      </c>
      <c r="F22" s="40" t="s">
        <v>16</v>
      </c>
      <c r="G22" s="51">
        <v>1</v>
      </c>
      <c r="H22" s="51">
        <v>1</v>
      </c>
      <c r="I22" s="51">
        <f t="shared" si="0"/>
        <v>1</v>
      </c>
      <c r="J22" s="40" t="str">
        <f t="shared" si="1"/>
        <v>ĐẠT</v>
      </c>
      <c r="K22" s="39" t="s">
        <v>252</v>
      </c>
    </row>
    <row r="23" spans="1:11" ht="28.5" x14ac:dyDescent="0.25">
      <c r="A23" s="33">
        <v>5</v>
      </c>
      <c r="B23" s="34" t="s">
        <v>32</v>
      </c>
      <c r="C23" s="34" t="s">
        <v>33</v>
      </c>
      <c r="D23" s="33" t="s">
        <v>34</v>
      </c>
      <c r="E23" s="34" t="s">
        <v>253</v>
      </c>
      <c r="F23" s="33" t="s">
        <v>254</v>
      </c>
      <c r="G23" s="49">
        <v>0.05</v>
      </c>
      <c r="H23" s="49">
        <v>6.2E-2</v>
      </c>
      <c r="I23" s="50">
        <f t="shared" si="0"/>
        <v>1.24</v>
      </c>
      <c r="J23" s="36" t="str">
        <f t="shared" si="1"/>
        <v>ĐẠT</v>
      </c>
      <c r="K23" s="34" t="s">
        <v>36</v>
      </c>
    </row>
    <row r="24" spans="1:11" ht="25.5" x14ac:dyDescent="0.25">
      <c r="A24" s="37" t="s">
        <v>106</v>
      </c>
      <c r="B24" s="38" t="s">
        <v>255</v>
      </c>
      <c r="C24" s="39" t="s">
        <v>256</v>
      </c>
      <c r="D24" s="37" t="s">
        <v>34</v>
      </c>
      <c r="E24" s="39" t="s">
        <v>253</v>
      </c>
      <c r="F24" s="40" t="s">
        <v>16</v>
      </c>
      <c r="G24" s="51">
        <v>1</v>
      </c>
      <c r="H24" s="51">
        <v>0.95</v>
      </c>
      <c r="I24" s="51">
        <f t="shared" si="0"/>
        <v>0.95</v>
      </c>
      <c r="J24" s="40" t="str">
        <f t="shared" si="1"/>
        <v>CHƯA ĐẠT</v>
      </c>
      <c r="K24" s="39" t="s">
        <v>257</v>
      </c>
    </row>
    <row r="25" spans="1:11" ht="25.5" x14ac:dyDescent="0.25">
      <c r="A25" s="37" t="s">
        <v>107</v>
      </c>
      <c r="B25" s="38" t="s">
        <v>258</v>
      </c>
      <c r="C25" s="39" t="s">
        <v>259</v>
      </c>
      <c r="D25" s="37" t="s">
        <v>34</v>
      </c>
      <c r="E25" s="39" t="s">
        <v>253</v>
      </c>
      <c r="F25" s="40" t="s">
        <v>16</v>
      </c>
      <c r="G25" s="51">
        <v>1</v>
      </c>
      <c r="H25" s="51">
        <v>1</v>
      </c>
      <c r="I25" s="51">
        <f t="shared" si="0"/>
        <v>1</v>
      </c>
      <c r="J25" s="40" t="str">
        <f t="shared" si="1"/>
        <v>ĐẠT</v>
      </c>
      <c r="K25" s="39" t="s">
        <v>260</v>
      </c>
    </row>
    <row r="26" spans="1:11" ht="25.5" x14ac:dyDescent="0.25">
      <c r="A26" s="37" t="s">
        <v>108</v>
      </c>
      <c r="B26" s="38" t="s">
        <v>261</v>
      </c>
      <c r="C26" s="39" t="s">
        <v>215</v>
      </c>
      <c r="D26" s="37" t="s">
        <v>34</v>
      </c>
      <c r="E26" s="39" t="s">
        <v>253</v>
      </c>
      <c r="F26" s="40" t="s">
        <v>16</v>
      </c>
      <c r="G26" s="51">
        <v>1</v>
      </c>
      <c r="H26" s="51">
        <v>1</v>
      </c>
      <c r="I26" s="51">
        <f t="shared" si="0"/>
        <v>1</v>
      </c>
      <c r="J26" s="40" t="str">
        <f t="shared" si="1"/>
        <v>ĐẠT</v>
      </c>
      <c r="K26" s="39" t="s">
        <v>262</v>
      </c>
    </row>
    <row r="27" spans="1:11" ht="28.5" x14ac:dyDescent="0.25">
      <c r="A27" s="33">
        <v>6</v>
      </c>
      <c r="B27" s="34" t="s">
        <v>37</v>
      </c>
      <c r="C27" s="34" t="s">
        <v>28</v>
      </c>
      <c r="D27" s="33" t="s">
        <v>29</v>
      </c>
      <c r="E27" s="34" t="s">
        <v>240</v>
      </c>
      <c r="F27" s="33" t="s">
        <v>16</v>
      </c>
      <c r="G27" s="49">
        <v>0.8</v>
      </c>
      <c r="H27" s="49">
        <v>0.85</v>
      </c>
      <c r="I27" s="50">
        <f t="shared" si="0"/>
        <v>1.0625</v>
      </c>
      <c r="J27" s="36" t="str">
        <f t="shared" si="1"/>
        <v>ĐẠT</v>
      </c>
      <c r="K27" s="34" t="s">
        <v>263</v>
      </c>
    </row>
    <row r="28" spans="1:11" ht="25.5" x14ac:dyDescent="0.25">
      <c r="A28" s="37" t="s">
        <v>109</v>
      </c>
      <c r="B28" s="38" t="s">
        <v>264</v>
      </c>
      <c r="C28" s="39" t="s">
        <v>265</v>
      </c>
      <c r="D28" s="37" t="s">
        <v>29</v>
      </c>
      <c r="E28" s="39" t="s">
        <v>240</v>
      </c>
      <c r="F28" s="40" t="s">
        <v>16</v>
      </c>
      <c r="G28" s="51">
        <v>1</v>
      </c>
      <c r="H28" s="51">
        <v>1</v>
      </c>
      <c r="I28" s="51">
        <f t="shared" si="0"/>
        <v>1</v>
      </c>
      <c r="J28" s="40" t="str">
        <f t="shared" si="1"/>
        <v>ĐẠT</v>
      </c>
      <c r="K28" s="39" t="s">
        <v>266</v>
      </c>
    </row>
    <row r="29" spans="1:11" ht="25.5" x14ac:dyDescent="0.25">
      <c r="A29" s="37" t="s">
        <v>110</v>
      </c>
      <c r="B29" s="38" t="s">
        <v>267</v>
      </c>
      <c r="C29" s="39" t="s">
        <v>268</v>
      </c>
      <c r="D29" s="37" t="s">
        <v>29</v>
      </c>
      <c r="E29" s="39" t="s">
        <v>240</v>
      </c>
      <c r="F29" s="40" t="s">
        <v>16</v>
      </c>
      <c r="G29" s="51">
        <v>1</v>
      </c>
      <c r="H29" s="51">
        <v>1</v>
      </c>
      <c r="I29" s="51">
        <f t="shared" si="0"/>
        <v>1</v>
      </c>
      <c r="J29" s="40" t="str">
        <f t="shared" si="1"/>
        <v>ĐẠT</v>
      </c>
      <c r="K29" s="39" t="s">
        <v>269</v>
      </c>
    </row>
    <row r="30" spans="1:11" ht="28.5" x14ac:dyDescent="0.25">
      <c r="A30" s="33">
        <v>7</v>
      </c>
      <c r="B30" s="34" t="s">
        <v>39</v>
      </c>
      <c r="C30" s="34" t="s">
        <v>28</v>
      </c>
      <c r="D30" s="33" t="s">
        <v>40</v>
      </c>
      <c r="E30" s="34" t="s">
        <v>270</v>
      </c>
      <c r="F30" s="33" t="s">
        <v>16</v>
      </c>
      <c r="G30" s="49">
        <v>1</v>
      </c>
      <c r="H30" s="49">
        <v>1</v>
      </c>
      <c r="I30" s="50">
        <f t="shared" si="0"/>
        <v>1</v>
      </c>
      <c r="J30" s="36" t="str">
        <f t="shared" si="1"/>
        <v>ĐẠT</v>
      </c>
      <c r="K30" s="34" t="s">
        <v>271</v>
      </c>
    </row>
    <row r="31" spans="1:11" x14ac:dyDescent="0.25">
      <c r="A31" s="37" t="s">
        <v>111</v>
      </c>
      <c r="B31" s="38" t="s">
        <v>272</v>
      </c>
      <c r="C31" s="39" t="s">
        <v>273</v>
      </c>
      <c r="D31" s="37" t="s">
        <v>40</v>
      </c>
      <c r="E31" s="39" t="s">
        <v>270</v>
      </c>
      <c r="F31" s="40" t="s">
        <v>16</v>
      </c>
      <c r="G31" s="51">
        <v>1</v>
      </c>
      <c r="H31" s="51">
        <v>1</v>
      </c>
      <c r="I31" s="51">
        <f t="shared" si="0"/>
        <v>1</v>
      </c>
      <c r="J31" s="40" t="str">
        <f t="shared" si="1"/>
        <v>ĐẠT</v>
      </c>
      <c r="K31" s="39" t="s">
        <v>274</v>
      </c>
    </row>
    <row r="32" spans="1:11" x14ac:dyDescent="0.25">
      <c r="A32" s="37" t="s">
        <v>112</v>
      </c>
      <c r="B32" s="38" t="s">
        <v>275</v>
      </c>
      <c r="C32" s="39" t="s">
        <v>276</v>
      </c>
      <c r="D32" s="37" t="s">
        <v>40</v>
      </c>
      <c r="E32" s="39" t="s">
        <v>270</v>
      </c>
      <c r="F32" s="40" t="s">
        <v>16</v>
      </c>
      <c r="G32" s="51">
        <v>1</v>
      </c>
      <c r="H32" s="51">
        <v>1</v>
      </c>
      <c r="I32" s="51">
        <f t="shared" si="0"/>
        <v>1</v>
      </c>
      <c r="J32" s="40" t="str">
        <f t="shared" si="1"/>
        <v>ĐẠT</v>
      </c>
      <c r="K32" s="39" t="s">
        <v>277</v>
      </c>
    </row>
    <row r="33" spans="1:11" ht="42.75" x14ac:dyDescent="0.25">
      <c r="A33" s="33">
        <v>8</v>
      </c>
      <c r="B33" s="34" t="s">
        <v>43</v>
      </c>
      <c r="C33" s="34" t="s">
        <v>44</v>
      </c>
      <c r="D33" s="33" t="s">
        <v>45</v>
      </c>
      <c r="E33" s="34" t="s">
        <v>278</v>
      </c>
      <c r="F33" s="33" t="s">
        <v>16</v>
      </c>
      <c r="G33" s="49">
        <v>1</v>
      </c>
      <c r="H33" s="49">
        <v>1</v>
      </c>
      <c r="I33" s="50">
        <f t="shared" si="0"/>
        <v>1</v>
      </c>
      <c r="J33" s="36" t="str">
        <f t="shared" si="1"/>
        <v>ĐẠT</v>
      </c>
      <c r="K33" s="34" t="s">
        <v>279</v>
      </c>
    </row>
    <row r="34" spans="1:11" ht="25.5" x14ac:dyDescent="0.25">
      <c r="A34" s="37" t="s">
        <v>113</v>
      </c>
      <c r="B34" s="38" t="s">
        <v>280</v>
      </c>
      <c r="C34" s="39" t="s">
        <v>232</v>
      </c>
      <c r="D34" s="37" t="s">
        <v>45</v>
      </c>
      <c r="E34" s="39" t="s">
        <v>278</v>
      </c>
      <c r="F34" s="40" t="s">
        <v>16</v>
      </c>
      <c r="G34" s="51">
        <v>1</v>
      </c>
      <c r="H34" s="51">
        <v>1</v>
      </c>
      <c r="I34" s="51">
        <f t="shared" si="0"/>
        <v>1</v>
      </c>
      <c r="J34" s="40" t="str">
        <f t="shared" si="1"/>
        <v>ĐẠT</v>
      </c>
      <c r="K34" s="39" t="s">
        <v>281</v>
      </c>
    </row>
    <row r="35" spans="1:11" ht="25.5" x14ac:dyDescent="0.25">
      <c r="A35" s="37" t="s">
        <v>114</v>
      </c>
      <c r="B35" s="38" t="s">
        <v>282</v>
      </c>
      <c r="C35" s="39" t="s">
        <v>212</v>
      </c>
      <c r="D35" s="37" t="s">
        <v>45</v>
      </c>
      <c r="E35" s="39" t="s">
        <v>278</v>
      </c>
      <c r="F35" s="40" t="s">
        <v>16</v>
      </c>
      <c r="G35" s="51">
        <v>1</v>
      </c>
      <c r="H35" s="51">
        <v>0.9</v>
      </c>
      <c r="I35" s="51">
        <f t="shared" si="0"/>
        <v>0.9</v>
      </c>
      <c r="J35" s="40" t="str">
        <f t="shared" si="1"/>
        <v>CHƯA ĐẠT</v>
      </c>
      <c r="K35" s="39" t="s">
        <v>283</v>
      </c>
    </row>
    <row r="36" spans="1:11" ht="25.5" x14ac:dyDescent="0.25">
      <c r="A36" s="37" t="s">
        <v>284</v>
      </c>
      <c r="B36" s="38" t="s">
        <v>285</v>
      </c>
      <c r="C36" s="39" t="s">
        <v>276</v>
      </c>
      <c r="D36" s="37" t="s">
        <v>45</v>
      </c>
      <c r="E36" s="39" t="s">
        <v>278</v>
      </c>
      <c r="F36" s="40" t="s">
        <v>16</v>
      </c>
      <c r="G36" s="51">
        <v>1</v>
      </c>
      <c r="H36" s="51">
        <v>1</v>
      </c>
      <c r="I36" s="51">
        <f t="shared" si="0"/>
        <v>1</v>
      </c>
      <c r="J36" s="40" t="str">
        <f t="shared" si="1"/>
        <v>ĐẠT</v>
      </c>
      <c r="K36" s="39" t="s">
        <v>286</v>
      </c>
    </row>
    <row r="37" spans="1:11" ht="42.75" x14ac:dyDescent="0.25">
      <c r="A37" s="33">
        <v>9</v>
      </c>
      <c r="B37" s="34" t="s">
        <v>48</v>
      </c>
      <c r="C37" s="34" t="s">
        <v>44</v>
      </c>
      <c r="D37" s="33" t="s">
        <v>45</v>
      </c>
      <c r="E37" s="34" t="s">
        <v>278</v>
      </c>
      <c r="F37" s="33" t="s">
        <v>16</v>
      </c>
      <c r="G37" s="49">
        <v>1</v>
      </c>
      <c r="H37" s="49">
        <v>1</v>
      </c>
      <c r="I37" s="50">
        <f t="shared" si="0"/>
        <v>1</v>
      </c>
      <c r="J37" s="36" t="str">
        <f t="shared" si="1"/>
        <v>ĐẠT</v>
      </c>
      <c r="K37" s="34" t="s">
        <v>287</v>
      </c>
    </row>
    <row r="38" spans="1:11" ht="25.5" x14ac:dyDescent="0.25">
      <c r="A38" s="37" t="s">
        <v>288</v>
      </c>
      <c r="B38" s="38" t="s">
        <v>289</v>
      </c>
      <c r="C38" s="39" t="s">
        <v>290</v>
      </c>
      <c r="D38" s="37" t="s">
        <v>45</v>
      </c>
      <c r="E38" s="39" t="s">
        <v>278</v>
      </c>
      <c r="F38" s="40" t="s">
        <v>16</v>
      </c>
      <c r="G38" s="51">
        <v>1</v>
      </c>
      <c r="H38" s="51">
        <v>1</v>
      </c>
      <c r="I38" s="51">
        <f t="shared" si="0"/>
        <v>1</v>
      </c>
      <c r="J38" s="40" t="str">
        <f t="shared" si="1"/>
        <v>ĐẠT</v>
      </c>
      <c r="K38" s="39" t="s">
        <v>291</v>
      </c>
    </row>
    <row r="39" spans="1:11" ht="25.5" x14ac:dyDescent="0.25">
      <c r="A39" s="37" t="s">
        <v>292</v>
      </c>
      <c r="B39" s="38" t="s">
        <v>293</v>
      </c>
      <c r="C39" s="39" t="s">
        <v>294</v>
      </c>
      <c r="D39" s="37" t="s">
        <v>45</v>
      </c>
      <c r="E39" s="39" t="s">
        <v>278</v>
      </c>
      <c r="F39" s="40" t="s">
        <v>16</v>
      </c>
      <c r="G39" s="51">
        <v>1</v>
      </c>
      <c r="H39" s="51">
        <v>0.95</v>
      </c>
      <c r="I39" s="51">
        <f t="shared" si="0"/>
        <v>0.95</v>
      </c>
      <c r="J39" s="40" t="str">
        <f t="shared" si="1"/>
        <v>CHƯA ĐẠT</v>
      </c>
      <c r="K39" s="39" t="s">
        <v>295</v>
      </c>
    </row>
    <row r="40" spans="1:11" ht="25.5" x14ac:dyDescent="0.25">
      <c r="A40" s="37" t="s">
        <v>296</v>
      </c>
      <c r="B40" s="38" t="s">
        <v>297</v>
      </c>
      <c r="C40" s="39" t="s">
        <v>298</v>
      </c>
      <c r="D40" s="37" t="s">
        <v>45</v>
      </c>
      <c r="E40" s="39" t="s">
        <v>278</v>
      </c>
      <c r="F40" s="40" t="s">
        <v>16</v>
      </c>
      <c r="G40" s="51">
        <v>1</v>
      </c>
      <c r="H40" s="51">
        <v>1</v>
      </c>
      <c r="I40" s="51">
        <f t="shared" si="0"/>
        <v>1</v>
      </c>
      <c r="J40" s="40" t="str">
        <f t="shared" si="1"/>
        <v>ĐẠT</v>
      </c>
      <c r="K40" s="39" t="s">
        <v>299</v>
      </c>
    </row>
    <row r="41" spans="1:11" ht="57" x14ac:dyDescent="0.25">
      <c r="A41" s="33">
        <v>10</v>
      </c>
      <c r="B41" s="34" t="s">
        <v>50</v>
      </c>
      <c r="C41" s="34" t="s">
        <v>33</v>
      </c>
      <c r="D41" s="33" t="s">
        <v>51</v>
      </c>
      <c r="E41" s="34" t="s">
        <v>300</v>
      </c>
      <c r="F41" s="33" t="s">
        <v>16</v>
      </c>
      <c r="G41" s="49">
        <v>1</v>
      </c>
      <c r="H41" s="49">
        <v>1</v>
      </c>
      <c r="I41" s="50">
        <f t="shared" si="0"/>
        <v>1</v>
      </c>
      <c r="J41" s="36" t="str">
        <f t="shared" si="1"/>
        <v>ĐẠT</v>
      </c>
      <c r="K41" s="34" t="s">
        <v>301</v>
      </c>
    </row>
    <row r="42" spans="1:11" ht="51" x14ac:dyDescent="0.25">
      <c r="A42" s="37" t="s">
        <v>302</v>
      </c>
      <c r="B42" s="38" t="s">
        <v>303</v>
      </c>
      <c r="C42" s="39" t="s">
        <v>212</v>
      </c>
      <c r="D42" s="37" t="s">
        <v>51</v>
      </c>
      <c r="E42" s="39" t="s">
        <v>300</v>
      </c>
      <c r="F42" s="40" t="s">
        <v>16</v>
      </c>
      <c r="G42" s="51">
        <v>1</v>
      </c>
      <c r="H42" s="51">
        <v>1</v>
      </c>
      <c r="I42" s="51">
        <f t="shared" si="0"/>
        <v>1</v>
      </c>
      <c r="J42" s="40" t="str">
        <f t="shared" si="1"/>
        <v>ĐẠT</v>
      </c>
      <c r="K42" s="39" t="s">
        <v>304</v>
      </c>
    </row>
    <row r="43" spans="1:11" ht="51" x14ac:dyDescent="0.25">
      <c r="A43" s="37" t="s">
        <v>305</v>
      </c>
      <c r="B43" s="38" t="s">
        <v>306</v>
      </c>
      <c r="C43" s="39" t="s">
        <v>307</v>
      </c>
      <c r="D43" s="37" t="s">
        <v>51</v>
      </c>
      <c r="E43" s="39" t="s">
        <v>300</v>
      </c>
      <c r="F43" s="40" t="s">
        <v>16</v>
      </c>
      <c r="G43" s="51">
        <v>1</v>
      </c>
      <c r="H43" s="51">
        <v>0.9</v>
      </c>
      <c r="I43" s="51">
        <f t="shared" si="0"/>
        <v>0.9</v>
      </c>
      <c r="J43" s="40" t="str">
        <f t="shared" si="1"/>
        <v>CHƯA ĐẠT</v>
      </c>
      <c r="K43" s="39" t="s">
        <v>308</v>
      </c>
    </row>
    <row r="44" spans="1:11" ht="51" x14ac:dyDescent="0.25">
      <c r="A44" s="37" t="s">
        <v>309</v>
      </c>
      <c r="B44" s="38" t="s">
        <v>310</v>
      </c>
      <c r="C44" s="39" t="s">
        <v>298</v>
      </c>
      <c r="D44" s="37" t="s">
        <v>51</v>
      </c>
      <c r="E44" s="39" t="s">
        <v>300</v>
      </c>
      <c r="F44" s="40" t="s">
        <v>16</v>
      </c>
      <c r="G44" s="51">
        <v>1</v>
      </c>
      <c r="H44" s="51">
        <v>1</v>
      </c>
      <c r="I44" s="51">
        <f t="shared" si="0"/>
        <v>1</v>
      </c>
      <c r="J44" s="40" t="str">
        <f t="shared" si="1"/>
        <v>ĐẠT</v>
      </c>
      <c r="K44" s="39" t="s">
        <v>311</v>
      </c>
    </row>
    <row r="45" spans="1:11" ht="28.5" x14ac:dyDescent="0.25">
      <c r="A45" s="33">
        <v>11</v>
      </c>
      <c r="B45" s="34" t="s">
        <v>55</v>
      </c>
      <c r="C45" s="34" t="s">
        <v>33</v>
      </c>
      <c r="D45" s="33" t="s">
        <v>24</v>
      </c>
      <c r="E45" s="34" t="s">
        <v>230</v>
      </c>
      <c r="F45" s="33" t="s">
        <v>16</v>
      </c>
      <c r="G45" s="49">
        <v>1</v>
      </c>
      <c r="H45" s="49">
        <v>1</v>
      </c>
      <c r="I45" s="50">
        <f t="shared" si="0"/>
        <v>1</v>
      </c>
      <c r="J45" s="36" t="str">
        <f t="shared" si="1"/>
        <v>ĐẠT</v>
      </c>
      <c r="K45" s="34" t="s">
        <v>312</v>
      </c>
    </row>
    <row r="46" spans="1:11" ht="25.5" x14ac:dyDescent="0.25">
      <c r="A46" s="37" t="s">
        <v>313</v>
      </c>
      <c r="B46" s="38" t="s">
        <v>314</v>
      </c>
      <c r="C46" s="39" t="s">
        <v>242</v>
      </c>
      <c r="D46" s="37" t="s">
        <v>24</v>
      </c>
      <c r="E46" s="39" t="s">
        <v>230</v>
      </c>
      <c r="F46" s="40" t="s">
        <v>16</v>
      </c>
      <c r="G46" s="51">
        <v>1</v>
      </c>
      <c r="H46" s="51">
        <v>1</v>
      </c>
      <c r="I46" s="51">
        <f t="shared" si="0"/>
        <v>1</v>
      </c>
      <c r="J46" s="40" t="str">
        <f t="shared" si="1"/>
        <v>ĐẠT</v>
      </c>
      <c r="K46" s="39" t="s">
        <v>315</v>
      </c>
    </row>
    <row r="47" spans="1:11" ht="25.5" x14ac:dyDescent="0.25">
      <c r="A47" s="37" t="s">
        <v>316</v>
      </c>
      <c r="B47" s="38" t="s">
        <v>317</v>
      </c>
      <c r="C47" s="39" t="s">
        <v>318</v>
      </c>
      <c r="D47" s="37" t="s">
        <v>24</v>
      </c>
      <c r="E47" s="39" t="s">
        <v>230</v>
      </c>
      <c r="F47" s="40" t="s">
        <v>16</v>
      </c>
      <c r="G47" s="51">
        <v>1</v>
      </c>
      <c r="H47" s="51">
        <v>0.9</v>
      </c>
      <c r="I47" s="51">
        <f t="shared" si="0"/>
        <v>0.9</v>
      </c>
      <c r="J47" s="40" t="str">
        <f t="shared" si="1"/>
        <v>CHƯA ĐẠT</v>
      </c>
      <c r="K47" s="39" t="s">
        <v>319</v>
      </c>
    </row>
    <row r="48" spans="1:11" ht="25.5" x14ac:dyDescent="0.25">
      <c r="A48" s="37" t="s">
        <v>320</v>
      </c>
      <c r="B48" s="38" t="s">
        <v>321</v>
      </c>
      <c r="C48" s="39" t="s">
        <v>322</v>
      </c>
      <c r="D48" s="37" t="s">
        <v>24</v>
      </c>
      <c r="E48" s="39" t="s">
        <v>230</v>
      </c>
      <c r="F48" s="40" t="s">
        <v>16</v>
      </c>
      <c r="G48" s="51">
        <v>1</v>
      </c>
      <c r="H48" s="51">
        <v>1</v>
      </c>
      <c r="I48" s="51">
        <f t="shared" si="0"/>
        <v>1</v>
      </c>
      <c r="J48" s="40" t="str">
        <f t="shared" si="1"/>
        <v>ĐẠT</v>
      </c>
      <c r="K48" s="39" t="s">
        <v>323</v>
      </c>
    </row>
    <row r="49" spans="1:11" ht="42.75" x14ac:dyDescent="0.25">
      <c r="A49" s="33">
        <v>12</v>
      </c>
      <c r="B49" s="34" t="s">
        <v>57</v>
      </c>
      <c r="C49" s="34" t="s">
        <v>33</v>
      </c>
      <c r="D49" s="33" t="s">
        <v>58</v>
      </c>
      <c r="E49" s="34" t="s">
        <v>324</v>
      </c>
      <c r="F49" s="33" t="s">
        <v>16</v>
      </c>
      <c r="G49" s="49">
        <v>1</v>
      </c>
      <c r="H49" s="49">
        <v>1</v>
      </c>
      <c r="I49" s="50">
        <f t="shared" si="0"/>
        <v>1</v>
      </c>
      <c r="J49" s="36" t="str">
        <f t="shared" si="1"/>
        <v>ĐẠT</v>
      </c>
      <c r="K49" s="34" t="s">
        <v>325</v>
      </c>
    </row>
    <row r="50" spans="1:11" ht="38.25" x14ac:dyDescent="0.25">
      <c r="A50" s="37" t="s">
        <v>326</v>
      </c>
      <c r="B50" s="38" t="s">
        <v>327</v>
      </c>
      <c r="C50" s="39" t="s">
        <v>328</v>
      </c>
      <c r="D50" s="37" t="s">
        <v>58</v>
      </c>
      <c r="E50" s="39" t="s">
        <v>324</v>
      </c>
      <c r="F50" s="40" t="s">
        <v>16</v>
      </c>
      <c r="G50" s="51">
        <v>1</v>
      </c>
      <c r="H50" s="51">
        <v>1</v>
      </c>
      <c r="I50" s="51">
        <f t="shared" si="0"/>
        <v>1</v>
      </c>
      <c r="J50" s="40" t="str">
        <f t="shared" si="1"/>
        <v>ĐẠT</v>
      </c>
      <c r="K50" s="39" t="s">
        <v>329</v>
      </c>
    </row>
    <row r="51" spans="1:11" ht="38.25" x14ac:dyDescent="0.25">
      <c r="A51" s="37" t="s">
        <v>330</v>
      </c>
      <c r="B51" s="38" t="s">
        <v>331</v>
      </c>
      <c r="C51" s="39" t="s">
        <v>212</v>
      </c>
      <c r="D51" s="37" t="s">
        <v>58</v>
      </c>
      <c r="E51" s="39" t="s">
        <v>324</v>
      </c>
      <c r="F51" s="40" t="s">
        <v>16</v>
      </c>
      <c r="G51" s="51">
        <v>1</v>
      </c>
      <c r="H51" s="51">
        <v>0.9</v>
      </c>
      <c r="I51" s="51">
        <f t="shared" si="0"/>
        <v>0.9</v>
      </c>
      <c r="J51" s="40" t="str">
        <f t="shared" si="1"/>
        <v>CHƯA ĐẠT</v>
      </c>
      <c r="K51" s="39" t="s">
        <v>332</v>
      </c>
    </row>
    <row r="52" spans="1:11" ht="38.25" x14ac:dyDescent="0.25">
      <c r="A52" s="37" t="s">
        <v>333</v>
      </c>
      <c r="B52" s="38" t="s">
        <v>334</v>
      </c>
      <c r="C52" s="39" t="s">
        <v>228</v>
      </c>
      <c r="D52" s="37" t="s">
        <v>58</v>
      </c>
      <c r="E52" s="39" t="s">
        <v>324</v>
      </c>
      <c r="F52" s="40" t="s">
        <v>16</v>
      </c>
      <c r="G52" s="51">
        <v>1</v>
      </c>
      <c r="H52" s="51">
        <v>1</v>
      </c>
      <c r="I52" s="51">
        <f t="shared" si="0"/>
        <v>1</v>
      </c>
      <c r="J52" s="40" t="str">
        <f t="shared" si="1"/>
        <v>ĐẠT</v>
      </c>
      <c r="K52" s="39" t="s">
        <v>335</v>
      </c>
    </row>
    <row r="53" spans="1:11" ht="29.25" thickBot="1" x14ac:dyDescent="0.3">
      <c r="A53" s="46"/>
      <c r="B53" s="47" t="s">
        <v>203</v>
      </c>
      <c r="C53" s="46"/>
      <c r="D53" s="46"/>
      <c r="E53" s="46"/>
      <c r="F53" s="46"/>
      <c r="G53" s="52"/>
      <c r="H53" s="52"/>
      <c r="I53" s="53">
        <f>AVERAGE(I5, I10, I14, I18, I23, I27, I30, I33, I37, I41, I45, I49)</f>
        <v>1.035798611111111</v>
      </c>
      <c r="J53" s="48" t="s">
        <v>204</v>
      </c>
      <c r="K53" s="47" t="s">
        <v>205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showGridLines="0" workbookViewId="0">
      <selection activeCell="J9" sqref="J9"/>
    </sheetView>
  </sheetViews>
  <sheetFormatPr defaultRowHeight="15" x14ac:dyDescent="0.25"/>
  <cols>
    <col min="1" max="1" width="10.140625" style="18" customWidth="1"/>
    <col min="2" max="2" width="36" style="18" customWidth="1"/>
    <col min="3" max="3" width="28" style="18" customWidth="1"/>
    <col min="4" max="4" width="11" style="18" customWidth="1"/>
    <col min="5" max="5" width="38" style="18" customWidth="1"/>
    <col min="6" max="6" width="13" style="18" customWidth="1"/>
    <col min="7" max="7" width="29" style="18" customWidth="1"/>
    <col min="8" max="8" width="27" style="18" customWidth="1"/>
    <col min="9" max="9" width="23" style="18" customWidth="1"/>
    <col min="10" max="10" width="56" style="18" customWidth="1"/>
    <col min="11" max="11" width="40" style="18" customWidth="1"/>
    <col min="12" max="16384" width="9.140625" style="18"/>
  </cols>
  <sheetData>
    <row r="1" spans="1:11" ht="20.25" x14ac:dyDescent="0.3">
      <c r="A1" s="17" t="s">
        <v>62</v>
      </c>
      <c r="K1" s="19"/>
    </row>
    <row r="2" spans="1:11" x14ac:dyDescent="0.25">
      <c r="A2" s="20" t="s">
        <v>1</v>
      </c>
    </row>
    <row r="4" spans="1:11" ht="27.95" customHeight="1" x14ac:dyDescent="0.25">
      <c r="A4" s="4" t="s">
        <v>2</v>
      </c>
      <c r="B4" s="4" t="s">
        <v>3</v>
      </c>
      <c r="C4" s="4" t="s">
        <v>91</v>
      </c>
      <c r="D4" s="4" t="s">
        <v>4</v>
      </c>
      <c r="E4" s="4" t="s">
        <v>5</v>
      </c>
      <c r="F4" s="4" t="s">
        <v>6</v>
      </c>
      <c r="G4" s="4" t="s">
        <v>7</v>
      </c>
      <c r="H4" s="4" t="s">
        <v>8</v>
      </c>
      <c r="I4" s="4" t="s">
        <v>9</v>
      </c>
      <c r="J4" s="4" t="s">
        <v>10</v>
      </c>
      <c r="K4" s="4" t="s">
        <v>11</v>
      </c>
    </row>
    <row r="5" spans="1:11" ht="42" customHeight="1" x14ac:dyDescent="0.25">
      <c r="A5" s="5">
        <v>1</v>
      </c>
      <c r="B5" s="6" t="s">
        <v>63</v>
      </c>
      <c r="C5" s="6" t="s">
        <v>64</v>
      </c>
      <c r="D5" s="5" t="s">
        <v>65</v>
      </c>
      <c r="E5" s="6" t="s">
        <v>66</v>
      </c>
      <c r="F5" s="5" t="s">
        <v>16</v>
      </c>
      <c r="G5" s="22">
        <v>0.35</v>
      </c>
      <c r="H5" s="23">
        <v>0.35</v>
      </c>
      <c r="I5" s="24">
        <f t="shared" ref="I5:I9" si="0">IFERROR(H5/G5, 0)</f>
        <v>1</v>
      </c>
      <c r="J5" s="7" t="str">
        <f t="shared" ref="J5:J9" si="1">IF(I5&gt;=1, "ĐẠT", "CHƯA ĐẠT")</f>
        <v>ĐẠT</v>
      </c>
      <c r="K5" s="8" t="s">
        <v>67</v>
      </c>
    </row>
    <row r="6" spans="1:11" ht="42" customHeight="1" x14ac:dyDescent="0.25">
      <c r="A6" s="9">
        <v>2</v>
      </c>
      <c r="B6" s="10" t="s">
        <v>68</v>
      </c>
      <c r="C6" s="10" t="s">
        <v>69</v>
      </c>
      <c r="D6" s="9" t="s">
        <v>70</v>
      </c>
      <c r="E6" s="10" t="s">
        <v>71</v>
      </c>
      <c r="F6" s="9" t="s">
        <v>16</v>
      </c>
      <c r="G6" s="25">
        <v>1</v>
      </c>
      <c r="H6" s="23">
        <v>1</v>
      </c>
      <c r="I6" s="24">
        <f t="shared" si="0"/>
        <v>1</v>
      </c>
      <c r="J6" s="11" t="str">
        <f t="shared" si="1"/>
        <v>ĐẠT</v>
      </c>
      <c r="K6" s="8" t="s">
        <v>72</v>
      </c>
    </row>
    <row r="7" spans="1:11" ht="42" customHeight="1" x14ac:dyDescent="0.25">
      <c r="A7" s="5">
        <v>3</v>
      </c>
      <c r="B7" s="6" t="s">
        <v>73</v>
      </c>
      <c r="C7" s="6" t="s">
        <v>69</v>
      </c>
      <c r="D7" s="5" t="s">
        <v>74</v>
      </c>
      <c r="E7" s="6" t="s">
        <v>75</v>
      </c>
      <c r="F7" s="5" t="s">
        <v>16</v>
      </c>
      <c r="G7" s="22">
        <v>1</v>
      </c>
      <c r="H7" s="23">
        <v>1</v>
      </c>
      <c r="I7" s="24">
        <f t="shared" si="0"/>
        <v>1</v>
      </c>
      <c r="J7" s="7" t="str">
        <f t="shared" si="1"/>
        <v>ĐẠT</v>
      </c>
      <c r="K7" s="8" t="s">
        <v>76</v>
      </c>
    </row>
    <row r="8" spans="1:11" ht="42" customHeight="1" x14ac:dyDescent="0.25">
      <c r="A8" s="9">
        <v>4</v>
      </c>
      <c r="B8" s="10" t="s">
        <v>77</v>
      </c>
      <c r="C8" s="10" t="s">
        <v>69</v>
      </c>
      <c r="D8" s="9" t="s">
        <v>70</v>
      </c>
      <c r="E8" s="10" t="s">
        <v>71</v>
      </c>
      <c r="F8" s="9" t="s">
        <v>16</v>
      </c>
      <c r="G8" s="25">
        <v>1</v>
      </c>
      <c r="H8" s="23">
        <v>1</v>
      </c>
      <c r="I8" s="24">
        <f t="shared" si="0"/>
        <v>1</v>
      </c>
      <c r="J8" s="11" t="str">
        <f t="shared" si="1"/>
        <v>ĐẠT</v>
      </c>
      <c r="K8" s="8" t="s">
        <v>78</v>
      </c>
    </row>
    <row r="9" spans="1:11" ht="42" customHeight="1" x14ac:dyDescent="0.25">
      <c r="A9" s="5">
        <v>5</v>
      </c>
      <c r="B9" s="6" t="s">
        <v>79</v>
      </c>
      <c r="C9" s="6" t="s">
        <v>64</v>
      </c>
      <c r="D9" s="5" t="s">
        <v>80</v>
      </c>
      <c r="E9" s="6" t="s">
        <v>81</v>
      </c>
      <c r="F9" s="5" t="s">
        <v>16</v>
      </c>
      <c r="G9" s="22">
        <v>0.85</v>
      </c>
      <c r="H9" s="23">
        <v>0.88500000000000001</v>
      </c>
      <c r="I9" s="24">
        <f t="shared" si="0"/>
        <v>1.0411764705882354</v>
      </c>
      <c r="J9" s="7" t="str">
        <f t="shared" si="1"/>
        <v>ĐẠT</v>
      </c>
      <c r="K9" s="8" t="s">
        <v>82</v>
      </c>
    </row>
    <row r="10" spans="1:11" ht="42" customHeight="1" x14ac:dyDescent="0.25">
      <c r="A10" s="9">
        <v>6</v>
      </c>
      <c r="B10" s="10" t="s">
        <v>83</v>
      </c>
      <c r="C10" s="10" t="s">
        <v>69</v>
      </c>
      <c r="D10" s="9" t="s">
        <v>84</v>
      </c>
      <c r="E10" s="10" t="s">
        <v>85</v>
      </c>
      <c r="F10" s="9" t="s">
        <v>16</v>
      </c>
      <c r="G10" s="25">
        <v>0.85</v>
      </c>
      <c r="H10" s="23">
        <v>0.84199999999999997</v>
      </c>
      <c r="I10" s="24">
        <f t="shared" ref="I10:I11" si="2">IFERROR(H10/G10, 0)</f>
        <v>0.99058823529411766</v>
      </c>
      <c r="J10" s="11" t="str">
        <f t="shared" ref="J10:J11" si="3">IF(I10&gt;=1, "ĐẠT", "CHƯA ĐẠT")</f>
        <v>CHƯA ĐẠT</v>
      </c>
      <c r="K10" s="8" t="s">
        <v>86</v>
      </c>
    </row>
    <row r="11" spans="1:11" ht="42" customHeight="1" x14ac:dyDescent="0.25">
      <c r="A11" s="5">
        <v>7</v>
      </c>
      <c r="B11" s="6" t="s">
        <v>87</v>
      </c>
      <c r="C11" s="6" t="s">
        <v>64</v>
      </c>
      <c r="D11" s="5" t="s">
        <v>88</v>
      </c>
      <c r="E11" s="6" t="s">
        <v>89</v>
      </c>
      <c r="F11" s="5" t="s">
        <v>10</v>
      </c>
      <c r="G11" s="26">
        <v>1</v>
      </c>
      <c r="H11" s="27">
        <v>1</v>
      </c>
      <c r="I11" s="24">
        <f t="shared" si="2"/>
        <v>1</v>
      </c>
      <c r="J11" s="7" t="str">
        <f t="shared" si="3"/>
        <v>ĐẠT</v>
      </c>
      <c r="K11" s="8" t="s">
        <v>90</v>
      </c>
    </row>
    <row r="12" spans="1:11" ht="26.1" customHeight="1" x14ac:dyDescent="0.25">
      <c r="A12" s="12" t="s">
        <v>61</v>
      </c>
      <c r="B12" s="13"/>
      <c r="C12" s="13"/>
      <c r="D12" s="13"/>
      <c r="E12" s="13"/>
      <c r="F12" s="13"/>
      <c r="G12" s="13"/>
      <c r="H12" s="13"/>
      <c r="I12" s="14">
        <f>AVERAGE(I5:I11)</f>
        <v>1.0045378151260504</v>
      </c>
      <c r="J12" s="15" t="str">
        <f>IF(I12&gt;=1, "HOÀN THÀNH KẾ HOẠCH", "CHƯA HOÀN THÀNH")</f>
        <v>HOÀN THÀNH KẾ HOẠCH</v>
      </c>
      <c r="K12" s="16"/>
    </row>
  </sheetData>
  <mergeCells count="1">
    <mergeCell ref="A12:H12"/>
  </mergeCells>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F15C3-549D-46CE-BA3D-500AF7467E12}">
  <dimension ref="A1:K33"/>
  <sheetViews>
    <sheetView workbookViewId="0">
      <selection activeCell="C9" sqref="C9"/>
    </sheetView>
  </sheetViews>
  <sheetFormatPr defaultRowHeight="15" x14ac:dyDescent="0.25"/>
  <cols>
    <col min="1" max="1" width="10" customWidth="1"/>
    <col min="2" max="2" width="70" customWidth="1"/>
    <col min="3" max="3" width="40" customWidth="1"/>
    <col min="4" max="4" width="12" customWidth="1"/>
    <col min="5" max="5" width="50" customWidth="1"/>
    <col min="6" max="6" width="10" customWidth="1"/>
    <col min="7" max="8" width="12" customWidth="1"/>
    <col min="9" max="10" width="15" customWidth="1"/>
    <col min="11" max="11" width="65" customWidth="1"/>
  </cols>
  <sheetData>
    <row r="1" spans="1:11" ht="20.25" x14ac:dyDescent="0.3">
      <c r="A1" s="31" t="s">
        <v>129</v>
      </c>
      <c r="B1" s="18"/>
      <c r="C1" s="18"/>
      <c r="D1" s="18"/>
      <c r="E1" s="18"/>
      <c r="F1" s="18"/>
      <c r="G1" s="18"/>
      <c r="H1" s="18"/>
      <c r="I1" s="18"/>
      <c r="J1" s="18"/>
      <c r="K1" s="18"/>
    </row>
    <row r="2" spans="1:11" x14ac:dyDescent="0.25">
      <c r="A2" s="20" t="s">
        <v>336</v>
      </c>
      <c r="B2" s="18"/>
      <c r="C2" s="18"/>
      <c r="D2" s="18"/>
      <c r="E2" s="18"/>
      <c r="F2" s="18"/>
      <c r="G2" s="18"/>
      <c r="H2" s="18"/>
      <c r="I2" s="18"/>
      <c r="J2" s="18"/>
      <c r="K2" s="18"/>
    </row>
    <row r="3" spans="1:11" x14ac:dyDescent="0.25">
      <c r="A3" s="32"/>
      <c r="B3" s="18"/>
      <c r="C3" s="18"/>
      <c r="D3" s="18"/>
      <c r="E3" s="18"/>
      <c r="F3" s="18"/>
      <c r="G3" s="18"/>
      <c r="H3" s="18"/>
      <c r="I3" s="18"/>
      <c r="J3" s="18"/>
      <c r="K3" s="18"/>
    </row>
    <row r="4" spans="1:11" ht="42.75" x14ac:dyDescent="0.25">
      <c r="A4" s="21" t="s">
        <v>2</v>
      </c>
      <c r="B4" s="21" t="s">
        <v>130</v>
      </c>
      <c r="C4" s="21" t="s">
        <v>337</v>
      </c>
      <c r="D4" s="21" t="s">
        <v>4</v>
      </c>
      <c r="E4" s="21" t="s">
        <v>131</v>
      </c>
      <c r="F4" s="21" t="s">
        <v>6</v>
      </c>
      <c r="G4" s="21" t="s">
        <v>7</v>
      </c>
      <c r="H4" s="21" t="s">
        <v>8</v>
      </c>
      <c r="I4" s="21" t="s">
        <v>9</v>
      </c>
      <c r="J4" s="21" t="s">
        <v>10</v>
      </c>
      <c r="K4" s="21" t="s">
        <v>132</v>
      </c>
    </row>
    <row r="5" spans="1:11" ht="28.5" x14ac:dyDescent="0.25">
      <c r="A5" s="33">
        <v>1</v>
      </c>
      <c r="B5" s="34" t="s">
        <v>63</v>
      </c>
      <c r="C5" s="34" t="s">
        <v>64</v>
      </c>
      <c r="D5" s="33" t="s">
        <v>65</v>
      </c>
      <c r="E5" s="34" t="s">
        <v>133</v>
      </c>
      <c r="F5" s="33" t="s">
        <v>16</v>
      </c>
      <c r="G5" s="35">
        <v>0.35</v>
      </c>
      <c r="H5" s="35">
        <v>0.35</v>
      </c>
      <c r="I5" s="42">
        <f t="shared" ref="I5:I31" si="0">IFERROR(H5/G5, 0)</f>
        <v>1</v>
      </c>
      <c r="J5" s="36" t="str">
        <f t="shared" ref="J5:J31" si="1">IF(I5&gt;=1, "ĐẠT", "CHƯA ĐẠT")</f>
        <v>ĐẠT</v>
      </c>
      <c r="K5" s="34" t="s">
        <v>67</v>
      </c>
    </row>
    <row r="6" spans="1:11" x14ac:dyDescent="0.25">
      <c r="A6" s="37" t="s">
        <v>115</v>
      </c>
      <c r="B6" s="39" t="s">
        <v>134</v>
      </c>
      <c r="C6" s="39" t="s">
        <v>135</v>
      </c>
      <c r="D6" s="37" t="s">
        <v>65</v>
      </c>
      <c r="E6" s="39" t="s">
        <v>133</v>
      </c>
      <c r="F6" s="40" t="s">
        <v>16</v>
      </c>
      <c r="G6" s="41">
        <v>1</v>
      </c>
      <c r="H6" s="41">
        <v>1</v>
      </c>
      <c r="I6" s="41">
        <f t="shared" si="0"/>
        <v>1</v>
      </c>
      <c r="J6" s="40" t="str">
        <f t="shared" si="1"/>
        <v>ĐẠT</v>
      </c>
      <c r="K6" s="39" t="s">
        <v>136</v>
      </c>
    </row>
    <row r="7" spans="1:11" x14ac:dyDescent="0.25">
      <c r="A7" s="37" t="s">
        <v>116</v>
      </c>
      <c r="B7" s="39" t="s">
        <v>137</v>
      </c>
      <c r="C7" s="39" t="s">
        <v>138</v>
      </c>
      <c r="D7" s="37" t="s">
        <v>65</v>
      </c>
      <c r="E7" s="39" t="s">
        <v>133</v>
      </c>
      <c r="F7" s="40" t="s">
        <v>16</v>
      </c>
      <c r="G7" s="41">
        <v>1</v>
      </c>
      <c r="H7" s="41">
        <v>1</v>
      </c>
      <c r="I7" s="41">
        <f t="shared" si="0"/>
        <v>1</v>
      </c>
      <c r="J7" s="40" t="str">
        <f t="shared" si="1"/>
        <v>ĐẠT</v>
      </c>
      <c r="K7" s="39" t="s">
        <v>139</v>
      </c>
    </row>
    <row r="8" spans="1:11" x14ac:dyDescent="0.25">
      <c r="A8" s="37" t="s">
        <v>117</v>
      </c>
      <c r="B8" s="39" t="s">
        <v>140</v>
      </c>
      <c r="C8" s="39" t="s">
        <v>141</v>
      </c>
      <c r="D8" s="37" t="s">
        <v>65</v>
      </c>
      <c r="E8" s="39" t="s">
        <v>133</v>
      </c>
      <c r="F8" s="40" t="s">
        <v>16</v>
      </c>
      <c r="G8" s="41">
        <v>1</v>
      </c>
      <c r="H8" s="41">
        <v>1</v>
      </c>
      <c r="I8" s="41">
        <f t="shared" si="0"/>
        <v>1</v>
      </c>
      <c r="J8" s="40" t="str">
        <f t="shared" si="1"/>
        <v>ĐẠT</v>
      </c>
      <c r="K8" s="39" t="s">
        <v>142</v>
      </c>
    </row>
    <row r="9" spans="1:11" ht="57" x14ac:dyDescent="0.25">
      <c r="A9" s="33">
        <v>2</v>
      </c>
      <c r="B9" s="34" t="s">
        <v>68</v>
      </c>
      <c r="C9" s="34" t="s">
        <v>69</v>
      </c>
      <c r="D9" s="33" t="s">
        <v>70</v>
      </c>
      <c r="E9" s="34" t="s">
        <v>143</v>
      </c>
      <c r="F9" s="33" t="s">
        <v>16</v>
      </c>
      <c r="G9" s="35">
        <v>1</v>
      </c>
      <c r="H9" s="35">
        <v>1</v>
      </c>
      <c r="I9" s="42">
        <f t="shared" si="0"/>
        <v>1</v>
      </c>
      <c r="J9" s="36" t="str">
        <f t="shared" si="1"/>
        <v>ĐẠT</v>
      </c>
      <c r="K9" s="34" t="s">
        <v>72</v>
      </c>
    </row>
    <row r="10" spans="1:11" ht="51" x14ac:dyDescent="0.25">
      <c r="A10" s="37" t="s">
        <v>118</v>
      </c>
      <c r="B10" s="39" t="s">
        <v>144</v>
      </c>
      <c r="C10" s="39" t="s">
        <v>145</v>
      </c>
      <c r="D10" s="37" t="s">
        <v>70</v>
      </c>
      <c r="E10" s="39" t="s">
        <v>143</v>
      </c>
      <c r="F10" s="40" t="s">
        <v>16</v>
      </c>
      <c r="G10" s="41">
        <v>1</v>
      </c>
      <c r="H10" s="41">
        <v>0.9</v>
      </c>
      <c r="I10" s="41">
        <f t="shared" si="0"/>
        <v>0.9</v>
      </c>
      <c r="J10" s="40" t="str">
        <f t="shared" si="1"/>
        <v>CHƯA ĐẠT</v>
      </c>
      <c r="K10" s="39" t="s">
        <v>146</v>
      </c>
    </row>
    <row r="11" spans="1:11" ht="51" x14ac:dyDescent="0.25">
      <c r="A11" s="37" t="s">
        <v>119</v>
      </c>
      <c r="B11" s="39" t="s">
        <v>147</v>
      </c>
      <c r="C11" s="39" t="s">
        <v>148</v>
      </c>
      <c r="D11" s="37" t="s">
        <v>70</v>
      </c>
      <c r="E11" s="39" t="s">
        <v>143</v>
      </c>
      <c r="F11" s="40" t="s">
        <v>16</v>
      </c>
      <c r="G11" s="41">
        <v>1</v>
      </c>
      <c r="H11" s="41">
        <v>1</v>
      </c>
      <c r="I11" s="41">
        <f t="shared" si="0"/>
        <v>1</v>
      </c>
      <c r="J11" s="40" t="str">
        <f t="shared" si="1"/>
        <v>ĐẠT</v>
      </c>
      <c r="K11" s="39" t="s">
        <v>149</v>
      </c>
    </row>
    <row r="12" spans="1:11" ht="42.75" x14ac:dyDescent="0.25">
      <c r="A12" s="33">
        <v>3</v>
      </c>
      <c r="B12" s="34" t="s">
        <v>73</v>
      </c>
      <c r="C12" s="34" t="s">
        <v>69</v>
      </c>
      <c r="D12" s="33" t="s">
        <v>74</v>
      </c>
      <c r="E12" s="34" t="s">
        <v>150</v>
      </c>
      <c r="F12" s="33" t="s">
        <v>16</v>
      </c>
      <c r="G12" s="35">
        <v>1</v>
      </c>
      <c r="H12" s="35">
        <v>1</v>
      </c>
      <c r="I12" s="42">
        <f t="shared" si="0"/>
        <v>1</v>
      </c>
      <c r="J12" s="36" t="str">
        <f t="shared" si="1"/>
        <v>ĐẠT</v>
      </c>
      <c r="K12" s="34" t="s">
        <v>76</v>
      </c>
    </row>
    <row r="13" spans="1:11" ht="38.25" x14ac:dyDescent="0.25">
      <c r="A13" s="37" t="s">
        <v>120</v>
      </c>
      <c r="B13" s="39" t="s">
        <v>151</v>
      </c>
      <c r="C13" s="39" t="s">
        <v>152</v>
      </c>
      <c r="D13" s="37" t="s">
        <v>74</v>
      </c>
      <c r="E13" s="39" t="s">
        <v>150</v>
      </c>
      <c r="F13" s="40" t="s">
        <v>16</v>
      </c>
      <c r="G13" s="41">
        <v>1</v>
      </c>
      <c r="H13" s="41">
        <v>1</v>
      </c>
      <c r="I13" s="41">
        <f t="shared" si="0"/>
        <v>1</v>
      </c>
      <c r="J13" s="40" t="str">
        <f t="shared" si="1"/>
        <v>ĐẠT</v>
      </c>
      <c r="K13" s="39" t="s">
        <v>153</v>
      </c>
    </row>
    <row r="14" spans="1:11" ht="38.25" x14ac:dyDescent="0.25">
      <c r="A14" s="37" t="s">
        <v>121</v>
      </c>
      <c r="B14" s="39" t="s">
        <v>154</v>
      </c>
      <c r="C14" s="39" t="s">
        <v>155</v>
      </c>
      <c r="D14" s="37" t="s">
        <v>74</v>
      </c>
      <c r="E14" s="39" t="s">
        <v>150</v>
      </c>
      <c r="F14" s="40" t="s">
        <v>16</v>
      </c>
      <c r="G14" s="41">
        <v>1</v>
      </c>
      <c r="H14" s="41">
        <v>1</v>
      </c>
      <c r="I14" s="41">
        <f t="shared" si="0"/>
        <v>1</v>
      </c>
      <c r="J14" s="40" t="str">
        <f t="shared" si="1"/>
        <v>ĐẠT</v>
      </c>
      <c r="K14" s="39" t="s">
        <v>156</v>
      </c>
    </row>
    <row r="15" spans="1:11" ht="38.25" x14ac:dyDescent="0.25">
      <c r="A15" s="37" t="s">
        <v>122</v>
      </c>
      <c r="B15" s="39" t="s">
        <v>157</v>
      </c>
      <c r="C15" s="39" t="s">
        <v>158</v>
      </c>
      <c r="D15" s="37" t="s">
        <v>74</v>
      </c>
      <c r="E15" s="39" t="s">
        <v>150</v>
      </c>
      <c r="F15" s="40" t="s">
        <v>16</v>
      </c>
      <c r="G15" s="41">
        <v>1</v>
      </c>
      <c r="H15" s="41">
        <v>0.9</v>
      </c>
      <c r="I15" s="41">
        <f t="shared" si="0"/>
        <v>0.9</v>
      </c>
      <c r="J15" s="40" t="str">
        <f t="shared" si="1"/>
        <v>CHƯA ĐẠT</v>
      </c>
      <c r="K15" s="39" t="s">
        <v>159</v>
      </c>
    </row>
    <row r="16" spans="1:11" ht="57" x14ac:dyDescent="0.25">
      <c r="A16" s="33">
        <v>4</v>
      </c>
      <c r="B16" s="34" t="s">
        <v>77</v>
      </c>
      <c r="C16" s="34" t="s">
        <v>69</v>
      </c>
      <c r="D16" s="33" t="s">
        <v>70</v>
      </c>
      <c r="E16" s="34" t="s">
        <v>143</v>
      </c>
      <c r="F16" s="33" t="s">
        <v>16</v>
      </c>
      <c r="G16" s="35">
        <v>1</v>
      </c>
      <c r="H16" s="35">
        <v>1</v>
      </c>
      <c r="I16" s="42">
        <f t="shared" si="0"/>
        <v>1</v>
      </c>
      <c r="J16" s="36" t="str">
        <f t="shared" si="1"/>
        <v>ĐẠT</v>
      </c>
      <c r="K16" s="34" t="s">
        <v>78</v>
      </c>
    </row>
    <row r="17" spans="1:11" ht="51" x14ac:dyDescent="0.25">
      <c r="A17" s="37" t="s">
        <v>123</v>
      </c>
      <c r="B17" s="39" t="s">
        <v>160</v>
      </c>
      <c r="C17" s="39" t="s">
        <v>145</v>
      </c>
      <c r="D17" s="37" t="s">
        <v>70</v>
      </c>
      <c r="E17" s="39" t="s">
        <v>143</v>
      </c>
      <c r="F17" s="40" t="s">
        <v>16</v>
      </c>
      <c r="G17" s="41">
        <v>1</v>
      </c>
      <c r="H17" s="41">
        <v>1</v>
      </c>
      <c r="I17" s="41">
        <f t="shared" si="0"/>
        <v>1</v>
      </c>
      <c r="J17" s="40" t="str">
        <f t="shared" si="1"/>
        <v>ĐẠT</v>
      </c>
      <c r="K17" s="39" t="s">
        <v>161</v>
      </c>
    </row>
    <row r="18" spans="1:11" ht="51" x14ac:dyDescent="0.25">
      <c r="A18" s="37" t="s">
        <v>124</v>
      </c>
      <c r="B18" s="39" t="s">
        <v>162</v>
      </c>
      <c r="C18" s="39" t="s">
        <v>163</v>
      </c>
      <c r="D18" s="37" t="s">
        <v>70</v>
      </c>
      <c r="E18" s="39" t="s">
        <v>143</v>
      </c>
      <c r="F18" s="40" t="s">
        <v>16</v>
      </c>
      <c r="G18" s="41">
        <v>1</v>
      </c>
      <c r="H18" s="41">
        <v>1</v>
      </c>
      <c r="I18" s="41">
        <f t="shared" si="0"/>
        <v>1</v>
      </c>
      <c r="J18" s="40" t="str">
        <f t="shared" si="1"/>
        <v>ĐẠT</v>
      </c>
      <c r="K18" s="39" t="s">
        <v>164</v>
      </c>
    </row>
    <row r="19" spans="1:11" ht="51" x14ac:dyDescent="0.25">
      <c r="A19" s="37" t="s">
        <v>125</v>
      </c>
      <c r="B19" s="39" t="s">
        <v>165</v>
      </c>
      <c r="C19" s="39" t="s">
        <v>141</v>
      </c>
      <c r="D19" s="37" t="s">
        <v>70</v>
      </c>
      <c r="E19" s="39" t="s">
        <v>143</v>
      </c>
      <c r="F19" s="40" t="s">
        <v>16</v>
      </c>
      <c r="G19" s="41">
        <v>1</v>
      </c>
      <c r="H19" s="41">
        <v>1</v>
      </c>
      <c r="I19" s="41">
        <f t="shared" si="0"/>
        <v>1</v>
      </c>
      <c r="J19" s="40" t="str">
        <f t="shared" si="1"/>
        <v>ĐẠT</v>
      </c>
      <c r="K19" s="39" t="s">
        <v>166</v>
      </c>
    </row>
    <row r="20" spans="1:11" ht="28.5" x14ac:dyDescent="0.25">
      <c r="A20" s="33">
        <v>5</v>
      </c>
      <c r="B20" s="34" t="s">
        <v>79</v>
      </c>
      <c r="C20" s="34" t="s">
        <v>64</v>
      </c>
      <c r="D20" s="33" t="s">
        <v>80</v>
      </c>
      <c r="E20" s="34" t="s">
        <v>167</v>
      </c>
      <c r="F20" s="33" t="s">
        <v>16</v>
      </c>
      <c r="G20" s="35">
        <v>0.85</v>
      </c>
      <c r="H20" s="35">
        <v>0.88500000000000001</v>
      </c>
      <c r="I20" s="42">
        <f t="shared" si="0"/>
        <v>1.0411764705882354</v>
      </c>
      <c r="J20" s="36" t="str">
        <f t="shared" si="1"/>
        <v>ĐẠT</v>
      </c>
      <c r="K20" s="34" t="s">
        <v>82</v>
      </c>
    </row>
    <row r="21" spans="1:11" ht="25.5" x14ac:dyDescent="0.25">
      <c r="A21" s="37" t="s">
        <v>126</v>
      </c>
      <c r="B21" s="39" t="s">
        <v>168</v>
      </c>
      <c r="C21" s="39" t="s">
        <v>169</v>
      </c>
      <c r="D21" s="37" t="s">
        <v>80</v>
      </c>
      <c r="E21" s="39" t="s">
        <v>167</v>
      </c>
      <c r="F21" s="40" t="s">
        <v>16</v>
      </c>
      <c r="G21" s="41">
        <v>1</v>
      </c>
      <c r="H21" s="41">
        <v>1</v>
      </c>
      <c r="I21" s="41">
        <f t="shared" si="0"/>
        <v>1</v>
      </c>
      <c r="J21" s="40" t="str">
        <f t="shared" si="1"/>
        <v>ĐẠT</v>
      </c>
      <c r="K21" s="39" t="s">
        <v>170</v>
      </c>
    </row>
    <row r="22" spans="1:11" ht="25.5" x14ac:dyDescent="0.25">
      <c r="A22" s="37" t="s">
        <v>127</v>
      </c>
      <c r="B22" s="39" t="s">
        <v>171</v>
      </c>
      <c r="C22" s="39" t="s">
        <v>138</v>
      </c>
      <c r="D22" s="37" t="s">
        <v>80</v>
      </c>
      <c r="E22" s="39" t="s">
        <v>167</v>
      </c>
      <c r="F22" s="40" t="s">
        <v>16</v>
      </c>
      <c r="G22" s="41">
        <v>1</v>
      </c>
      <c r="H22" s="41">
        <v>1</v>
      </c>
      <c r="I22" s="41">
        <f t="shared" si="0"/>
        <v>1</v>
      </c>
      <c r="J22" s="40" t="str">
        <f t="shared" si="1"/>
        <v>ĐẠT</v>
      </c>
      <c r="K22" s="39" t="s">
        <v>172</v>
      </c>
    </row>
    <row r="23" spans="1:11" ht="25.5" x14ac:dyDescent="0.25">
      <c r="A23" s="37" t="s">
        <v>128</v>
      </c>
      <c r="B23" s="39" t="s">
        <v>173</v>
      </c>
      <c r="C23" s="39" t="s">
        <v>174</v>
      </c>
      <c r="D23" s="37" t="s">
        <v>80</v>
      </c>
      <c r="E23" s="39" t="s">
        <v>167</v>
      </c>
      <c r="F23" s="40" t="s">
        <v>16</v>
      </c>
      <c r="G23" s="41">
        <v>1</v>
      </c>
      <c r="H23" s="41">
        <v>1</v>
      </c>
      <c r="I23" s="41">
        <f t="shared" si="0"/>
        <v>1</v>
      </c>
      <c r="J23" s="40" t="str">
        <f t="shared" si="1"/>
        <v>ĐẠT</v>
      </c>
      <c r="K23" s="39" t="s">
        <v>175</v>
      </c>
    </row>
    <row r="24" spans="1:11" ht="28.5" x14ac:dyDescent="0.25">
      <c r="A24" s="33">
        <v>6</v>
      </c>
      <c r="B24" s="34" t="s">
        <v>83</v>
      </c>
      <c r="C24" s="34" t="s">
        <v>69</v>
      </c>
      <c r="D24" s="33" t="s">
        <v>84</v>
      </c>
      <c r="E24" s="34" t="s">
        <v>176</v>
      </c>
      <c r="F24" s="33" t="s">
        <v>16</v>
      </c>
      <c r="G24" s="35">
        <v>0.85</v>
      </c>
      <c r="H24" s="43">
        <v>0.84199999999999997</v>
      </c>
      <c r="I24" s="44">
        <f t="shared" si="0"/>
        <v>0.99058823529411766</v>
      </c>
      <c r="J24" s="45" t="str">
        <f t="shared" si="1"/>
        <v>CHƯA ĐẠT</v>
      </c>
      <c r="K24" s="34" t="s">
        <v>177</v>
      </c>
    </row>
    <row r="25" spans="1:11" ht="25.5" x14ac:dyDescent="0.25">
      <c r="A25" s="37" t="s">
        <v>178</v>
      </c>
      <c r="B25" s="39" t="s">
        <v>179</v>
      </c>
      <c r="C25" s="39" t="s">
        <v>180</v>
      </c>
      <c r="D25" s="37" t="s">
        <v>84</v>
      </c>
      <c r="E25" s="39" t="s">
        <v>176</v>
      </c>
      <c r="F25" s="40" t="s">
        <v>16</v>
      </c>
      <c r="G25" s="41">
        <v>1</v>
      </c>
      <c r="H25" s="41">
        <v>0.9</v>
      </c>
      <c r="I25" s="41">
        <f t="shared" si="0"/>
        <v>0.9</v>
      </c>
      <c r="J25" s="40" t="str">
        <f t="shared" si="1"/>
        <v>CHƯA ĐẠT</v>
      </c>
      <c r="K25" s="39" t="s">
        <v>181</v>
      </c>
    </row>
    <row r="26" spans="1:11" ht="25.5" x14ac:dyDescent="0.25">
      <c r="A26" s="37" t="s">
        <v>182</v>
      </c>
      <c r="B26" s="39" t="s">
        <v>183</v>
      </c>
      <c r="C26" s="39" t="s">
        <v>184</v>
      </c>
      <c r="D26" s="37" t="s">
        <v>84</v>
      </c>
      <c r="E26" s="39" t="s">
        <v>176</v>
      </c>
      <c r="F26" s="40" t="s">
        <v>16</v>
      </c>
      <c r="G26" s="41">
        <v>1</v>
      </c>
      <c r="H26" s="41">
        <v>0.8</v>
      </c>
      <c r="I26" s="41">
        <f t="shared" si="0"/>
        <v>0.8</v>
      </c>
      <c r="J26" s="40" t="str">
        <f t="shared" si="1"/>
        <v>CHƯA ĐẠT</v>
      </c>
      <c r="K26" s="39" t="s">
        <v>185</v>
      </c>
    </row>
    <row r="27" spans="1:11" ht="25.5" x14ac:dyDescent="0.25">
      <c r="A27" s="37" t="s">
        <v>186</v>
      </c>
      <c r="B27" s="39" t="s">
        <v>187</v>
      </c>
      <c r="C27" s="39" t="s">
        <v>174</v>
      </c>
      <c r="D27" s="37" t="s">
        <v>84</v>
      </c>
      <c r="E27" s="39" t="s">
        <v>176</v>
      </c>
      <c r="F27" s="40" t="s">
        <v>16</v>
      </c>
      <c r="G27" s="41">
        <v>1</v>
      </c>
      <c r="H27" s="41">
        <v>0.9</v>
      </c>
      <c r="I27" s="41">
        <f t="shared" si="0"/>
        <v>0.9</v>
      </c>
      <c r="J27" s="40" t="str">
        <f t="shared" si="1"/>
        <v>CHƯA ĐẠT</v>
      </c>
      <c r="K27" s="39" t="s">
        <v>188</v>
      </c>
    </row>
    <row r="28" spans="1:11" ht="42.75" x14ac:dyDescent="0.25">
      <c r="A28" s="33">
        <v>7</v>
      </c>
      <c r="B28" s="34" t="s">
        <v>87</v>
      </c>
      <c r="C28" s="34" t="s">
        <v>64</v>
      </c>
      <c r="D28" s="33" t="s">
        <v>88</v>
      </c>
      <c r="E28" s="34" t="s">
        <v>189</v>
      </c>
      <c r="F28" s="33" t="s">
        <v>16</v>
      </c>
      <c r="G28" s="35">
        <v>1</v>
      </c>
      <c r="H28" s="35">
        <v>1</v>
      </c>
      <c r="I28" s="42">
        <f t="shared" si="0"/>
        <v>1</v>
      </c>
      <c r="J28" s="36" t="str">
        <f t="shared" si="1"/>
        <v>ĐẠT</v>
      </c>
      <c r="K28" s="34" t="s">
        <v>190</v>
      </c>
    </row>
    <row r="29" spans="1:11" ht="38.25" x14ac:dyDescent="0.25">
      <c r="A29" s="37" t="s">
        <v>191</v>
      </c>
      <c r="B29" s="39" t="s">
        <v>192</v>
      </c>
      <c r="C29" s="39" t="s">
        <v>193</v>
      </c>
      <c r="D29" s="37" t="s">
        <v>88</v>
      </c>
      <c r="E29" s="39" t="s">
        <v>189</v>
      </c>
      <c r="F29" s="40" t="s">
        <v>16</v>
      </c>
      <c r="G29" s="41">
        <v>1</v>
      </c>
      <c r="H29" s="41">
        <v>1</v>
      </c>
      <c r="I29" s="41">
        <f t="shared" si="0"/>
        <v>1</v>
      </c>
      <c r="J29" s="40" t="str">
        <f t="shared" si="1"/>
        <v>ĐẠT</v>
      </c>
      <c r="K29" s="39" t="s">
        <v>194</v>
      </c>
    </row>
    <row r="30" spans="1:11" ht="38.25" x14ac:dyDescent="0.25">
      <c r="A30" s="37" t="s">
        <v>195</v>
      </c>
      <c r="B30" s="39" t="s">
        <v>196</v>
      </c>
      <c r="C30" s="39" t="s">
        <v>197</v>
      </c>
      <c r="D30" s="37" t="s">
        <v>88</v>
      </c>
      <c r="E30" s="39" t="s">
        <v>189</v>
      </c>
      <c r="F30" s="40" t="s">
        <v>16</v>
      </c>
      <c r="G30" s="41">
        <v>1</v>
      </c>
      <c r="H30" s="41">
        <v>0.9</v>
      </c>
      <c r="I30" s="41">
        <f t="shared" si="0"/>
        <v>0.9</v>
      </c>
      <c r="J30" s="40" t="str">
        <f t="shared" si="1"/>
        <v>CHƯA ĐẠT</v>
      </c>
      <c r="K30" s="39" t="s">
        <v>198</v>
      </c>
    </row>
    <row r="31" spans="1:11" ht="38.25" x14ac:dyDescent="0.25">
      <c r="A31" s="37" t="s">
        <v>199</v>
      </c>
      <c r="B31" s="39" t="s">
        <v>200</v>
      </c>
      <c r="C31" s="39" t="s">
        <v>201</v>
      </c>
      <c r="D31" s="37" t="s">
        <v>88</v>
      </c>
      <c r="E31" s="39" t="s">
        <v>189</v>
      </c>
      <c r="F31" s="40" t="s">
        <v>16</v>
      </c>
      <c r="G31" s="41">
        <v>1</v>
      </c>
      <c r="H31" s="41">
        <v>1</v>
      </c>
      <c r="I31" s="41">
        <f t="shared" si="0"/>
        <v>1</v>
      </c>
      <c r="J31" s="40" t="str">
        <f t="shared" si="1"/>
        <v>ĐẠT</v>
      </c>
      <c r="K31" s="39" t="s">
        <v>202</v>
      </c>
    </row>
    <row r="32" spans="1:11" ht="29.25" thickBot="1" x14ac:dyDescent="0.3">
      <c r="A32" s="52"/>
      <c r="B32" s="47" t="s">
        <v>203</v>
      </c>
      <c r="C32" s="52"/>
      <c r="D32" s="52"/>
      <c r="E32" s="52"/>
      <c r="F32" s="52"/>
      <c r="G32" s="52"/>
      <c r="H32" s="52"/>
      <c r="I32" s="53">
        <f>AVERAGE(I5, I9, I12, I16, I20, I24, I28)</f>
        <v>1.0045378151260504</v>
      </c>
      <c r="J32" s="48" t="s">
        <v>204</v>
      </c>
      <c r="K32" s="47" t="s">
        <v>205</v>
      </c>
    </row>
    <row r="33" ht="15.75" thickTop="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 Đào tạo</vt:lpstr>
      <vt:lpstr>P.Đao tạo Phân rã</vt:lpstr>
      <vt:lpstr>P. Hành chính</vt:lpstr>
      <vt:lpstr>P. Hành chính Phân rã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Yến Trần</cp:lastModifiedBy>
  <cp:revision>1</cp:revision>
  <dcterms:created xsi:type="dcterms:W3CDTF">2026-08-27T08:22:46Z</dcterms:created>
  <dcterms:modified xsi:type="dcterms:W3CDTF">2026-08-27T09:04:42Z</dcterms:modified>
</cp:coreProperties>
</file>